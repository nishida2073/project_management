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ishid\Desktop\project_management\tool\track-aggregator\template\"/>
    </mc:Choice>
  </mc:AlternateContent>
  <xr:revisionPtr revIDLastSave="0" documentId="13_ncr:1_{9433D5CD-1DD7-465B-A431-EF6C16953CDF}" xr6:coauthVersionLast="47" xr6:coauthVersionMax="47" xr10:uidLastSave="{00000000-0000-0000-0000-000000000000}"/>
  <bookViews>
    <workbookView xWindow="-108" yWindow="-108" windowWidth="23256" windowHeight="12456" tabRatio="760" xr2:uid="{00000000-000D-0000-FFFF-FFFF00000000}"/>
  </bookViews>
  <sheets>
    <sheet name="実施状況" sheetId="33" r:id="rId1"/>
    <sheet name="サマリ" sheetId="32" r:id="rId2"/>
    <sheet name="経年比較（前年同じFMT）" sheetId="22" state="hidden" r:id="rId3"/>
    <sheet name="ビジネス基礎（Day5)" sheetId="13" state="hidden" r:id="rId4"/>
  </sheets>
  <definedNames>
    <definedName name="_xlnm._FilterDatabase" localSheetId="1" hidden="1">サマリ!$B$2:$O$9</definedName>
    <definedName name="_xlnm._FilterDatabase" localSheetId="2" hidden="1">'経年比較（前年同じFMT）'!$B$2:$Q$16</definedName>
    <definedName name="_xlnm._FilterDatabase" localSheetId="0" hidden="1">実施状況!$A$6:$F$6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1" i="22" l="1"/>
  <c r="F37" i="22" l="1"/>
  <c r="F25" i="22"/>
  <c r="F29" i="22"/>
  <c r="F41" i="22"/>
  <c r="F45" i="22"/>
  <c r="E21" i="22"/>
  <c r="E25" i="22" l="1"/>
  <c r="E29" i="22"/>
  <c r="G37" i="22" l="1"/>
  <c r="M5" i="13"/>
  <c r="D2" i="13"/>
  <c r="G5" i="13"/>
  <c r="O5" i="13"/>
  <c r="J5" i="13"/>
  <c r="F5" i="13"/>
  <c r="G29" i="22" l="1"/>
  <c r="G25" i="22"/>
  <c r="G41" i="22"/>
  <c r="G21" i="22"/>
  <c r="AG5" i="13"/>
  <c r="A2" i="13" s="1"/>
  <c r="AE5" i="13"/>
  <c r="AB5" i="13"/>
  <c r="Y5" i="13"/>
  <c r="V5" i="13"/>
  <c r="G2" i="13" s="1"/>
  <c r="S5" i="13"/>
  <c r="P5" i="13"/>
  <c r="N5" i="13"/>
  <c r="H5" i="13"/>
  <c r="C2" i="13" s="1"/>
  <c r="J2" i="13"/>
  <c r="I2" i="13"/>
  <c r="H2" i="13"/>
  <c r="F2" i="13"/>
  <c r="E2" i="13"/>
  <c r="B2" i="13"/>
  <c r="E37" i="22" l="1"/>
  <c r="E41" i="22"/>
  <c r="E45" i="22"/>
  <c r="G45" i="22" l="1"/>
  <c r="G48" i="22" s="1"/>
  <c r="E48" i="22"/>
  <c r="G44" i="22"/>
  <c r="E44" i="22"/>
  <c r="G40" i="22"/>
  <c r="E40" i="22"/>
  <c r="G32" i="22"/>
  <c r="E32" i="22"/>
  <c r="G28" i="22"/>
  <c r="E28" i="22"/>
  <c r="G24" i="22"/>
  <c r="E24" i="22"/>
  <c r="M13" i="22" l="1"/>
  <c r="J13" i="22"/>
  <c r="Q13" i="22"/>
  <c r="P13" i="22"/>
  <c r="O13" i="22"/>
  <c r="N13" i="22"/>
  <c r="L13" i="22"/>
  <c r="K13" i="22"/>
  <c r="I13" i="22"/>
  <c r="H13" i="22"/>
  <c r="P16" i="22" l="1"/>
  <c r="J16" i="22"/>
  <c r="M16" i="22"/>
  <c r="L16" i="22"/>
  <c r="H16" i="22"/>
  <c r="I16" i="22"/>
  <c r="N16" i="22"/>
  <c r="K16" i="22"/>
  <c r="O16" i="22"/>
  <c r="Q16" i="22"/>
  <c r="Q49" i="22" l="1"/>
  <c r="P49" i="22"/>
  <c r="O49" i="22"/>
  <c r="N49" i="22"/>
  <c r="M49" i="22"/>
  <c r="L49" i="22"/>
  <c r="K49" i="22"/>
  <c r="J49" i="22"/>
  <c r="I49" i="22"/>
  <c r="H49" i="22"/>
  <c r="Q45" i="22"/>
  <c r="P45" i="22"/>
  <c r="O45" i="22"/>
  <c r="N45" i="22"/>
  <c r="M45" i="22"/>
  <c r="L45" i="22"/>
  <c r="K45" i="22"/>
  <c r="J45" i="22"/>
  <c r="I45" i="22"/>
  <c r="H45" i="22"/>
  <c r="Q41" i="22"/>
  <c r="P41" i="22"/>
  <c r="O41" i="22"/>
  <c r="N41" i="22"/>
  <c r="M41" i="22"/>
  <c r="L41" i="22"/>
  <c r="K41" i="22"/>
  <c r="J41" i="22"/>
  <c r="I41" i="22"/>
  <c r="H41" i="22"/>
  <c r="Q37" i="22"/>
  <c r="P37" i="22"/>
  <c r="O37" i="22"/>
  <c r="N37" i="22"/>
  <c r="M37" i="22"/>
  <c r="L37" i="22"/>
  <c r="K37" i="22"/>
  <c r="J37" i="22"/>
  <c r="I37" i="22"/>
  <c r="H37" i="22"/>
  <c r="N48" i="22" l="1"/>
  <c r="I52" i="22"/>
  <c r="K40" i="22"/>
  <c r="P40" i="22"/>
  <c r="L48" i="22"/>
  <c r="Q40" i="22"/>
  <c r="M48" i="22"/>
  <c r="H44" i="22"/>
  <c r="I44" i="22"/>
  <c r="O48" i="22"/>
  <c r="J44" i="22"/>
  <c r="P48" i="22"/>
  <c r="K44" i="22"/>
  <c r="Q48" i="22"/>
  <c r="L44" i="22"/>
  <c r="H52" i="22"/>
  <c r="M44" i="22"/>
  <c r="H40" i="22"/>
  <c r="N44" i="22"/>
  <c r="J52" i="22"/>
  <c r="I40" i="22"/>
  <c r="O44" i="22"/>
  <c r="K52" i="22"/>
  <c r="J40" i="22"/>
  <c r="P44" i="22"/>
  <c r="L52" i="22"/>
  <c r="Q44" i="22"/>
  <c r="M52" i="22"/>
  <c r="L40" i="22"/>
  <c r="H48" i="22"/>
  <c r="N52" i="22"/>
  <c r="M40" i="22"/>
  <c r="I48" i="22"/>
  <c r="O52" i="22"/>
  <c r="N40" i="22"/>
  <c r="J48" i="22"/>
  <c r="P52" i="22"/>
  <c r="O40" i="22"/>
  <c r="K48" i="22"/>
  <c r="Q52" i="22"/>
  <c r="I9" i="22"/>
  <c r="I12" i="22" s="1"/>
  <c r="J9" i="22"/>
  <c r="J12" i="22" s="1"/>
  <c r="K9" i="22"/>
  <c r="K12" i="22" s="1"/>
  <c r="L9" i="22"/>
  <c r="L12" i="22" s="1"/>
  <c r="M9" i="22"/>
  <c r="M12" i="22" s="1"/>
  <c r="N9" i="22"/>
  <c r="N12" i="22" s="1"/>
  <c r="O9" i="22"/>
  <c r="O12" i="22" s="1"/>
  <c r="P9" i="22"/>
  <c r="P12" i="22" s="1"/>
  <c r="Q9" i="22"/>
  <c r="Q12" i="22" s="1"/>
  <c r="H9" i="22"/>
  <c r="H12" i="22" s="1"/>
  <c r="H25" i="22" l="1"/>
  <c r="Q25" i="22"/>
  <c r="P25" i="22"/>
  <c r="O25" i="22"/>
  <c r="N25" i="22"/>
  <c r="M25" i="22"/>
  <c r="L25" i="22"/>
  <c r="K25" i="22"/>
  <c r="J25" i="22"/>
  <c r="I25" i="22"/>
  <c r="H28" i="22" l="1"/>
  <c r="I28" i="22"/>
  <c r="J28" i="22"/>
  <c r="K28" i="22"/>
  <c r="L28" i="22"/>
  <c r="M28" i="22"/>
  <c r="N28" i="22"/>
  <c r="O28" i="22"/>
  <c r="P28" i="22"/>
  <c r="Q28" i="22"/>
  <c r="I29" i="22"/>
  <c r="J29" i="22"/>
  <c r="K29" i="22"/>
  <c r="L29" i="22"/>
  <c r="M29" i="22"/>
  <c r="N29" i="22"/>
  <c r="O29" i="22"/>
  <c r="P29" i="22"/>
  <c r="Q29" i="22"/>
  <c r="H29" i="22"/>
  <c r="H32" i="22" l="1"/>
  <c r="Q32" i="22"/>
  <c r="P32" i="22"/>
  <c r="O32" i="22"/>
  <c r="N32" i="22"/>
  <c r="M32" i="22"/>
  <c r="L32" i="22"/>
  <c r="K32" i="22"/>
  <c r="J32" i="22"/>
  <c r="I32" i="22"/>
  <c r="H21" i="22"/>
  <c r="Q21" i="22"/>
  <c r="P21" i="22"/>
  <c r="O21" i="22"/>
  <c r="N21" i="22"/>
  <c r="M21" i="22"/>
  <c r="L21" i="22"/>
  <c r="K21" i="22"/>
  <c r="J21" i="22"/>
  <c r="I21" i="22"/>
  <c r="I24" i="22" l="1"/>
  <c r="J24" i="22"/>
  <c r="K24" i="22"/>
  <c r="L24" i="22"/>
  <c r="M24" i="22"/>
  <c r="N24" i="22"/>
  <c r="O24" i="22"/>
  <c r="P24" i="22"/>
  <c r="Q24" i="22"/>
  <c r="H24" i="22"/>
  <c r="H5" i="22"/>
  <c r="Q5" i="22"/>
  <c r="P5" i="22"/>
  <c r="O5" i="22"/>
  <c r="N5" i="22"/>
  <c r="M5" i="22"/>
  <c r="L5" i="22"/>
  <c r="K5" i="22"/>
  <c r="J5" i="22"/>
  <c r="I5" i="22"/>
  <c r="I8" i="22" l="1"/>
  <c r="J8" i="22"/>
  <c r="K8" i="22"/>
  <c r="L8" i="22"/>
  <c r="M8" i="22"/>
  <c r="N8" i="22"/>
  <c r="O8" i="22"/>
  <c r="P8" i="22"/>
  <c r="Q8" i="22"/>
  <c r="H8" i="22"/>
</calcChain>
</file>

<file path=xl/sharedStrings.xml><?xml version="1.0" encoding="utf-8"?>
<sst xmlns="http://schemas.openxmlformats.org/spreadsheetml/2006/main" count="293" uniqueCount="165">
  <si>
    <t>目的達成</t>
    <rPh sb="0" eb="2">
      <t>モクテキ</t>
    </rPh>
    <rPh sb="2" eb="4">
      <t>タッセイ</t>
    </rPh>
    <phoneticPr fontId="1"/>
  </si>
  <si>
    <t>学習</t>
    <rPh sb="0" eb="2">
      <t>ガクシュウ</t>
    </rPh>
    <phoneticPr fontId="1"/>
  </si>
  <si>
    <t>FA</t>
    <phoneticPr fontId="1"/>
  </si>
  <si>
    <t>業務</t>
    <rPh sb="0" eb="2">
      <t>ギョウム</t>
    </rPh>
    <phoneticPr fontId="1"/>
  </si>
  <si>
    <t>講義</t>
    <rPh sb="0" eb="2">
      <t>コウギ</t>
    </rPh>
    <phoneticPr fontId="1"/>
  </si>
  <si>
    <t>【複数回答】</t>
    <rPh sb="1" eb="5">
      <t>フクスウカイトウ</t>
    </rPh>
    <phoneticPr fontId="1"/>
  </si>
  <si>
    <t>演習</t>
    <rPh sb="0" eb="2">
      <t>エンシュウ</t>
    </rPh>
    <phoneticPr fontId="1"/>
  </si>
  <si>
    <t>教材</t>
    <rPh sb="0" eb="2">
      <t>キョウザイ</t>
    </rPh>
    <phoneticPr fontId="1"/>
  </si>
  <si>
    <t>講師</t>
    <rPh sb="0" eb="2">
      <t>コウシ</t>
    </rPh>
    <phoneticPr fontId="1"/>
  </si>
  <si>
    <t>研修日数</t>
    <rPh sb="0" eb="4">
      <t>ケンシュウニッスウ</t>
    </rPh>
    <phoneticPr fontId="1"/>
  </si>
  <si>
    <t>受講環境</t>
    <rPh sb="0" eb="4">
      <t>ジュコウカンキョウ</t>
    </rPh>
    <phoneticPr fontId="1"/>
  </si>
  <si>
    <t>総合満足</t>
    <rPh sb="0" eb="4">
      <t>ソウゴウマンゾク</t>
    </rPh>
    <phoneticPr fontId="1"/>
  </si>
  <si>
    <t>1.単一選択</t>
  </si>
  <si>
    <t>2.単一選択</t>
  </si>
  <si>
    <t>3.単一選択</t>
  </si>
  <si>
    <t>4.記述回答</t>
  </si>
  <si>
    <t>5.単一選択</t>
  </si>
  <si>
    <t>6.単一選択</t>
  </si>
  <si>
    <t>7.単一選択</t>
  </si>
  <si>
    <t>8.単一選択</t>
  </si>
  <si>
    <t>9.単一選択</t>
  </si>
  <si>
    <t>10.複数選択</t>
  </si>
  <si>
    <t>11.記述回答</t>
  </si>
  <si>
    <t>12.単一選択</t>
  </si>
  <si>
    <t>13.複数選択</t>
  </si>
  <si>
    <t>14.記述回答</t>
  </si>
  <si>
    <t>15.単一選択</t>
  </si>
  <si>
    <t>16.複数選択</t>
  </si>
  <si>
    <t>17.記述回答</t>
  </si>
  <si>
    <t>18.単一選択</t>
  </si>
  <si>
    <t>19.複数選択</t>
  </si>
  <si>
    <t>20.記述回答</t>
  </si>
  <si>
    <t>21.単一選択</t>
  </si>
  <si>
    <t>22.単一選択</t>
  </si>
  <si>
    <t>23.記述回答</t>
  </si>
  <si>
    <t>24.単一選択</t>
  </si>
  <si>
    <t>25.記述回答</t>
  </si>
  <si>
    <t>26.単一選択</t>
  </si>
  <si>
    <t>27.記述回答</t>
  </si>
  <si>
    <t>年度</t>
  </si>
  <si>
    <t>コースコード</t>
  </si>
  <si>
    <t>レッスン回数</t>
  </si>
  <si>
    <t>ID</t>
  </si>
  <si>
    <t>受講者名</t>
  </si>
  <si>
    <t>総合評価</t>
    <rPh sb="0" eb="4">
      <t>ソウゴウヒョウカ</t>
    </rPh>
    <phoneticPr fontId="1"/>
  </si>
  <si>
    <t>目的達成度</t>
    <rPh sb="0" eb="5">
      <t>モクテキタッセイド</t>
    </rPh>
    <phoneticPr fontId="1"/>
  </si>
  <si>
    <t>学習理解度</t>
    <rPh sb="0" eb="5">
      <t>ガクシュウリカイド</t>
    </rPh>
    <phoneticPr fontId="1"/>
  </si>
  <si>
    <t>講義評価</t>
    <rPh sb="0" eb="4">
      <t>コウギヒョウカ</t>
    </rPh>
    <phoneticPr fontId="1"/>
  </si>
  <si>
    <t>演習評価</t>
    <rPh sb="0" eb="4">
      <t>エンシュウヒョウカ</t>
    </rPh>
    <phoneticPr fontId="1"/>
  </si>
  <si>
    <t>教材評価</t>
    <rPh sb="0" eb="4">
      <t>キョウザイヒョウカ</t>
    </rPh>
    <phoneticPr fontId="1"/>
  </si>
  <si>
    <t>講師評価</t>
    <rPh sb="0" eb="4">
      <t>コウシヒョウカ</t>
    </rPh>
    <phoneticPr fontId="1"/>
  </si>
  <si>
    <t>研修日程</t>
    <rPh sb="0" eb="4">
      <t>ケンシュウニッテイ</t>
    </rPh>
    <phoneticPr fontId="1"/>
  </si>
  <si>
    <t>学習環境</t>
    <rPh sb="0" eb="4">
      <t>ガクシュウカンキョウ</t>
    </rPh>
    <phoneticPr fontId="1"/>
  </si>
  <si>
    <t>研修コース名</t>
    <rPh sb="0" eb="2">
      <t>ケンシュウ</t>
    </rPh>
    <rPh sb="5" eb="6">
      <t>メイ</t>
    </rPh>
    <phoneticPr fontId="3"/>
  </si>
  <si>
    <t>年度</t>
    <rPh sb="0" eb="2">
      <t>ネンド</t>
    </rPh>
    <phoneticPr fontId="3"/>
  </si>
  <si>
    <t>テスト結果</t>
    <rPh sb="3" eb="5">
      <t>ケッカ</t>
    </rPh>
    <phoneticPr fontId="3"/>
  </si>
  <si>
    <t>アンケート結果</t>
    <rPh sb="5" eb="7">
      <t>ケッカ</t>
    </rPh>
    <phoneticPr fontId="3"/>
  </si>
  <si>
    <t>修了率</t>
    <rPh sb="0" eb="2">
      <t>シュウリョウ</t>
    </rPh>
    <rPh sb="2" eb="3">
      <t>リツ</t>
    </rPh>
    <phoneticPr fontId="3"/>
  </si>
  <si>
    <t>総合
評価</t>
    <rPh sb="0" eb="2">
      <t>ソウゴウ</t>
    </rPh>
    <rPh sb="3" eb="5">
      <t>ヒョウカ</t>
    </rPh>
    <phoneticPr fontId="3"/>
  </si>
  <si>
    <t>目的
達成度</t>
    <phoneticPr fontId="3"/>
  </si>
  <si>
    <t>学習
理解度</t>
    <phoneticPr fontId="3"/>
  </si>
  <si>
    <t>講義
評価</t>
    <rPh sb="3" eb="5">
      <t>ヒョウカ</t>
    </rPh>
    <phoneticPr fontId="3"/>
  </si>
  <si>
    <t>演習
評価</t>
    <rPh sb="0" eb="2">
      <t>エンシュウ</t>
    </rPh>
    <rPh sb="3" eb="5">
      <t>ヒョウカ</t>
    </rPh>
    <phoneticPr fontId="3"/>
  </si>
  <si>
    <t>教材
評価</t>
    <rPh sb="3" eb="5">
      <t>ヒョウカ</t>
    </rPh>
    <phoneticPr fontId="3"/>
  </si>
  <si>
    <t>講師
評価</t>
    <rPh sb="3" eb="5">
      <t>ヒョウカ</t>
    </rPh>
    <phoneticPr fontId="3"/>
  </si>
  <si>
    <t>研修
日数</t>
    <phoneticPr fontId="3"/>
  </si>
  <si>
    <t>学習
環境</t>
    <phoneticPr fontId="3"/>
  </si>
  <si>
    <t>不合格</t>
    <rPh sb="0" eb="3">
      <t>フゴウカク</t>
    </rPh>
    <phoneticPr fontId="1"/>
  </si>
  <si>
    <t>合格</t>
    <rPh sb="0" eb="2">
      <t>ゴウカク</t>
    </rPh>
    <phoneticPr fontId="1"/>
  </si>
  <si>
    <t>-</t>
  </si>
  <si>
    <t>FY2023</t>
  </si>
  <si>
    <t>アンケートの全体平均を非表示としている。</t>
    <rPh sb="6" eb="8">
      <t>ゼンタイ</t>
    </rPh>
    <rPh sb="8" eb="10">
      <t>ヘイキン</t>
    </rPh>
    <rPh sb="11" eb="14">
      <t>ヒヒョウジ</t>
    </rPh>
    <phoneticPr fontId="3"/>
  </si>
  <si>
    <t>ビジネス応用のアンケート未収得のためブランクとしている。</t>
    <rPh sb="4" eb="6">
      <t>オウヨウ</t>
    </rPh>
    <rPh sb="12" eb="15">
      <t>ミシュウトク</t>
    </rPh>
    <phoneticPr fontId="3"/>
  </si>
  <si>
    <t>FY2018注意</t>
    <rPh sb="6" eb="8">
      <t>チュウイ</t>
    </rPh>
    <phoneticPr fontId="3"/>
  </si>
  <si>
    <t>・アンケート項目で、昨年度比較して0.5ポイント以上の変化がある場合は太くし、プラスは黒マイナスは赤とする。</t>
    <rPh sb="6" eb="8">
      <t>コウモク</t>
    </rPh>
    <rPh sb="10" eb="13">
      <t>サクネンド</t>
    </rPh>
    <rPh sb="13" eb="15">
      <t>ヒカク</t>
    </rPh>
    <rPh sb="24" eb="26">
      <t>イジョウ</t>
    </rPh>
    <rPh sb="27" eb="29">
      <t>ヘンカ</t>
    </rPh>
    <rPh sb="32" eb="34">
      <t>バアイ</t>
    </rPh>
    <rPh sb="35" eb="36">
      <t>フト</t>
    </rPh>
    <rPh sb="43" eb="44">
      <t>クロ</t>
    </rPh>
    <rPh sb="49" eb="50">
      <t>アカ</t>
    </rPh>
    <phoneticPr fontId="3"/>
  </si>
  <si>
    <t>・アンケート項目は3.5が基準値のため、で3.4未満は赤字化する</t>
    <rPh sb="6" eb="8">
      <t>コウモク</t>
    </rPh>
    <rPh sb="13" eb="15">
      <t>キジュン</t>
    </rPh>
    <rPh sb="15" eb="16">
      <t>チ</t>
    </rPh>
    <rPh sb="24" eb="26">
      <t>ミマン</t>
    </rPh>
    <rPh sb="27" eb="29">
      <t>アカジ</t>
    </rPh>
    <rPh sb="29" eb="30">
      <t>カ</t>
    </rPh>
    <phoneticPr fontId="3"/>
  </si>
  <si>
    <t>【標記の考え方】</t>
    <rPh sb="1" eb="3">
      <t>ヒョウキ</t>
    </rPh>
    <rPh sb="4" eb="5">
      <t>カンガ</t>
    </rPh>
    <rPh sb="6" eb="7">
      <t>カタ</t>
    </rPh>
    <phoneticPr fontId="3"/>
  </si>
  <si>
    <t>アンケート結果　</t>
    <rPh sb="5" eb="7">
      <t>ケッカ</t>
    </rPh>
    <phoneticPr fontId="3"/>
  </si>
  <si>
    <t>Javaプログラミング応用</t>
    <rPh sb="11" eb="13">
      <t>オウヨウ</t>
    </rPh>
    <phoneticPr fontId="3"/>
  </si>
  <si>
    <t>Javaプログラミング基礎</t>
    <phoneticPr fontId="3"/>
  </si>
  <si>
    <t>アルゴリズム入門</t>
    <phoneticPr fontId="3"/>
  </si>
  <si>
    <t>プログラミング研修</t>
    <phoneticPr fontId="3"/>
  </si>
  <si>
    <t>Web技術入門</t>
    <rPh sb="3" eb="5">
      <t>ギジュツ</t>
    </rPh>
    <rPh sb="5" eb="7">
      <t>ニュウモン</t>
    </rPh>
    <phoneticPr fontId="3"/>
  </si>
  <si>
    <t>データベース技術入門</t>
    <rPh sb="6" eb="8">
      <t>ギジュツ</t>
    </rPh>
    <rPh sb="8" eb="10">
      <t>ニュウモン</t>
    </rPh>
    <phoneticPr fontId="3"/>
  </si>
  <si>
    <t>システム開発概要</t>
    <rPh sb="4" eb="6">
      <t>カイハツ</t>
    </rPh>
    <rPh sb="6" eb="8">
      <t>ガイヨウ</t>
    </rPh>
    <phoneticPr fontId="3"/>
  </si>
  <si>
    <t>コンピュータ技術入門</t>
    <phoneticPr fontId="3"/>
  </si>
  <si>
    <t>IT基礎</t>
    <phoneticPr fontId="3"/>
  </si>
  <si>
    <t>ビジネス応用</t>
    <rPh sb="4" eb="6">
      <t>オウヨウ</t>
    </rPh>
    <phoneticPr fontId="3"/>
  </si>
  <si>
    <t>ビジネス基礎</t>
    <rPh sb="4" eb="6">
      <t>キソ</t>
    </rPh>
    <phoneticPr fontId="3"/>
  </si>
  <si>
    <t>ビジネス</t>
    <phoneticPr fontId="3"/>
  </si>
  <si>
    <t>【考察】</t>
    <rPh sb="1" eb="3">
      <t>コウサツ</t>
    </rPh>
    <phoneticPr fontId="3"/>
  </si>
  <si>
    <t>差分</t>
    <rPh sb="0" eb="2">
      <t>サブン</t>
    </rPh>
    <phoneticPr fontId="3"/>
  </si>
  <si>
    <t>システム
開発演習</t>
    <rPh sb="5" eb="7">
      <t>カイハツ</t>
    </rPh>
    <rPh sb="7" eb="9">
      <t>エンシュウ</t>
    </rPh>
    <phoneticPr fontId="3"/>
  </si>
  <si>
    <t>Javaプログラミング応用</t>
    <phoneticPr fontId="3"/>
  </si>
  <si>
    <t>アルゴリズム
入門</t>
    <phoneticPr fontId="3"/>
  </si>
  <si>
    <t>プログラミング</t>
    <phoneticPr fontId="3"/>
  </si>
  <si>
    <t>全体</t>
    <rPh sb="0" eb="2">
      <t>ゼンタイ</t>
    </rPh>
    <phoneticPr fontId="3"/>
  </si>
  <si>
    <t>Web技術
入門</t>
    <phoneticPr fontId="3"/>
  </si>
  <si>
    <t>データベース
技術入門</t>
    <phoneticPr fontId="3"/>
  </si>
  <si>
    <t>ITサービスの
キホン</t>
    <phoneticPr fontId="3"/>
  </si>
  <si>
    <t>IT技術基礎</t>
    <rPh sb="2" eb="4">
      <t>ギジュツ</t>
    </rPh>
    <rPh sb="4" eb="6">
      <t>キソ</t>
    </rPh>
    <phoneticPr fontId="3"/>
  </si>
  <si>
    <t>ビジネス基礎
（Day5）</t>
    <rPh sb="4" eb="6">
      <t>キソ</t>
    </rPh>
    <phoneticPr fontId="3"/>
  </si>
  <si>
    <t>FY2024</t>
  </si>
  <si>
    <t>問1,本研修の学習内容はあなたが期待した通りの内容でしたか？</t>
  </si>
  <si>
    <t>問2,研修の目的は、達成されましたか？</t>
  </si>
  <si>
    <t>問3,学習した内容は理解できましたか？</t>
  </si>
  <si>
    <t>問4,問1～3について、評価の理由と今後に向けたご意見・ご要望をご記入ください。</t>
  </si>
  <si>
    <t>問5,本科目の達成イメージを明確にし、自分がやるべきことを考え、実行することができましたか。</t>
  </si>
  <si>
    <t>問6,本科目の中で、行動の結果をニュートラルに捉え、原因分析をしたり、周囲からのフィードバックを受け止めて次に活かすためにどうしたらよいかを考えましたか？</t>
  </si>
  <si>
    <t>問7,研修中に、新たな気づきを得る、または、学習内容の重要性を認識する機会がありましたか？</t>
  </si>
  <si>
    <t>問8,学習内容をあなたの業務に適用する見通しやイメージをもつことはできましたか？</t>
  </si>
  <si>
    <t>問10,学習内容を業務に活用して成果をあげるために、どのような点に注意しながらやればよいかのイメージができましたか？</t>
  </si>
  <si>
    <t>問11,講義の進め方や内容は、あなたが研修の目的を達成する上で有効でしたか？</t>
  </si>
  <si>
    <t>問12,問11にて2以下とした方のみ評価の理由として当てはまるものを全て選択してください</t>
  </si>
  <si>
    <t>問13,問11に関するコメントがある方はコメントを記載してください</t>
  </si>
  <si>
    <t>問14,演習（実習）の進め方や内容は、あなたが研修の目的を達成する上で有効でしたか？</t>
  </si>
  <si>
    <t>問15,問14にて2以下とした方のみ評価の理由として当てはまるものを全て選択してください</t>
  </si>
  <si>
    <t>問16,問14に関するコメントがある方はコメントを記載してください</t>
  </si>
  <si>
    <t>問17,教材の内容は、あなたが研修の目的を達成する上で有効でしたか？</t>
  </si>
  <si>
    <t>問18,問17にて2以下とした方のみ評価の理由として当てはまるものを選択してください</t>
  </si>
  <si>
    <t>問19,問17に関するコメントがある方はコメントを記載してください</t>
  </si>
  <si>
    <t>問20,講師の指導は、あなたが研修の目的を達成する上で有効でしたか？</t>
  </si>
  <si>
    <t>問21,問20にて2以下とした方のみ評価の理由として当てはまるもの</t>
  </si>
  <si>
    <t>問22,問20に関するコメントがある方はコメントを記載してください</t>
  </si>
  <si>
    <t>問23,学習内容に対して、研修の日数は適切でしたか？</t>
  </si>
  <si>
    <t>問24,問23にて2以下とした方のみ評価の理由として当てはまるもの</t>
  </si>
  <si>
    <t>問25,問23に関するコメントがある方はコメントを記載してください</t>
  </si>
  <si>
    <t>問26,受講環境（オンラインの場合は、通信環境・ツールの使い勝手等を含む）は良好でしたか？</t>
  </si>
  <si>
    <t>問27,問26に関するコメントがある方はコメントを記載してください</t>
  </si>
  <si>
    <t>問29,問28に関するコメントがある方はコメントを記載してください</t>
  </si>
  <si>
    <t>問9,学習内容を業務で活用し、成果を出せる（内容を理解できる、困難があっても対処できる）という期待・自信はもてましたか？</t>
    <phoneticPr fontId="1"/>
  </si>
  <si>
    <t>問28,本研修は全体を通してあなたにとって有意義なものでしたか？</t>
    <phoneticPr fontId="1"/>
  </si>
  <si>
    <t>業務適用度</t>
    <rPh sb="0" eb="2">
      <t>ギョウム</t>
    </rPh>
    <rPh sb="2" eb="4">
      <t>テキヨウ</t>
    </rPh>
    <rPh sb="4" eb="5">
      <t>ド</t>
    </rPh>
    <phoneticPr fontId="1"/>
  </si>
  <si>
    <t>業務適用度</t>
    <rPh sb="0" eb="2">
      <t>ギョウム</t>
    </rPh>
    <rPh sb="2" eb="5">
      <t>テキヨウド</t>
    </rPh>
    <phoneticPr fontId="1"/>
  </si>
  <si>
    <t>※問８を参照！</t>
    <rPh sb="1" eb="2">
      <t>トイ</t>
    </rPh>
    <rPh sb="4" eb="6">
      <t>サンショウ</t>
    </rPh>
    <phoneticPr fontId="1"/>
  </si>
  <si>
    <t>※2023のみビジネス基礎Day1-4</t>
    <rPh sb="11" eb="13">
      <t>キソ</t>
    </rPh>
    <phoneticPr fontId="1"/>
  </si>
  <si>
    <t>　Day5は独立（ロールプレイ部分）</t>
    <rPh sb="6" eb="8">
      <t>ドクリツ</t>
    </rPh>
    <rPh sb="15" eb="17">
      <t>ブブン</t>
    </rPh>
    <phoneticPr fontId="1"/>
  </si>
  <si>
    <t>ビジネス基礎
(Day1-５)</t>
    <rPh sb="4" eb="6">
      <t>キソ</t>
    </rPh>
    <phoneticPr fontId="3"/>
  </si>
  <si>
    <t>業務
適用度</t>
  </si>
  <si>
    <t>業務
適用度</t>
    <phoneticPr fontId="3"/>
  </si>
  <si>
    <t>平均点</t>
    <phoneticPr fontId="3"/>
  </si>
  <si>
    <t>・修了率、平均点は10ポイント以上の変化がある場合は太くし、プラスは黒マイナスは赤とする。</t>
    <rPh sb="1" eb="3">
      <t>シュウリョウ</t>
    </rPh>
    <rPh sb="3" eb="4">
      <t>リツ</t>
    </rPh>
    <rPh sb="15" eb="17">
      <t>イジョウ</t>
    </rPh>
    <phoneticPr fontId="3"/>
  </si>
  <si>
    <t>ビジネス応用 
（Day6）</t>
    <rPh sb="4" eb="6">
      <t>オウヨウ</t>
    </rPh>
    <phoneticPr fontId="3"/>
  </si>
  <si>
    <t>FY2025</t>
  </si>
  <si>
    <t>FY2025</t>
    <phoneticPr fontId="1"/>
  </si>
  <si>
    <t>-</t>
    <phoneticPr fontId="1"/>
  </si>
  <si>
    <t>中央値</t>
    <rPh sb="0" eb="3">
      <t>チュウオウチ</t>
    </rPh>
    <phoneticPr fontId="1"/>
  </si>
  <si>
    <t>中央値</t>
    <phoneticPr fontId="1"/>
  </si>
  <si>
    <t>{結果データ}</t>
    <rPh sb="1" eb="3">
      <t>ケッカ</t>
    </rPh>
    <phoneticPr fontId="1"/>
  </si>
  <si>
    <t xml:space="preserve"> </t>
    <phoneticPr fontId="1"/>
  </si>
  <si>
    <t>研修コース名</t>
    <phoneticPr fontId="1"/>
  </si>
  <si>
    <t>受講者ID</t>
    <rPh sb="0" eb="3">
      <t>ジュコウシャ</t>
    </rPh>
    <phoneticPr fontId="1"/>
  </si>
  <si>
    <t>氏名</t>
    <phoneticPr fontId="1"/>
  </si>
  <si>
    <t>会社名</t>
    <rPh sb="0" eb="3">
      <t>カイシャメイ</t>
    </rPh>
    <phoneticPr fontId="1"/>
  </si>
  <si>
    <t>クラス名</t>
    <rPh sb="3" eb="4">
      <t>メイ</t>
    </rPh>
    <phoneticPr fontId="1"/>
  </si>
  <si>
    <t>ランク</t>
    <phoneticPr fontId="1"/>
  </si>
  <si>
    <t>{ユーザーデータ}</t>
    <phoneticPr fontId="1"/>
  </si>
  <si>
    <t>{実施データ}</t>
  </si>
  <si>
    <t>{コースデータ}</t>
    <phoneticPr fontId="1"/>
  </si>
  <si>
    <t>アンケート</t>
    <phoneticPr fontId="3"/>
  </si>
  <si>
    <t>テスト</t>
    <phoneticPr fontId="3"/>
  </si>
  <si>
    <t>※メッセージ</t>
    <phoneticPr fontId="1"/>
  </si>
  <si>
    <t>運営事務局です。</t>
    <phoneticPr fontId="1"/>
  </si>
  <si>
    <t>テストが未実施となっております。</t>
    <rPh sb="5" eb="7">
      <t>ジッシ</t>
    </rPh>
    <phoneticPr fontId="1"/>
  </si>
  <si>
    <t>お手数ですが、実施をお願いいたします。</t>
    <rPh sb="7" eb="9">
      <t>ジッシ</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</si>
</sst>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
    <numFmt numFmtId="177" formatCode="0.0%"/>
    <numFmt numFmtId="178" formatCode="0.00_ "/>
    <numFmt numFmtId="179" formatCode="0.0_ "/>
  </numFmts>
  <fonts count="14" x14ac:knownFonts="1">
    <font>
      <sz val="11"/>
      <color theme="1"/>
      <name val="游ゴシック"/>
      <family val="2"/>
      <charset val="128"/>
      <scheme val="minor"/>
    </font>
    <font>
      <sz val="6"/>
      <name val="游ゴシック"/>
      <family val="2"/>
      <charset val="128"/>
      <scheme val="minor"/>
    </font>
    <font>
      <sz val="9"/>
      <color theme="1"/>
      <name val="游ゴシック"/>
      <family val="3"/>
      <charset val="128"/>
      <scheme val="minor"/>
    </font>
    <font>
      <sz val="6"/>
      <name val="游ゴシック"/>
      <family val="3"/>
      <charset val="128"/>
      <scheme val="minor"/>
    </font>
    <font>
      <sz val="11"/>
      <color theme="1"/>
      <name val="游ゴシック"/>
      <family val="2"/>
      <charset val="128"/>
      <scheme val="minor"/>
    </font>
    <font>
      <sz val="11"/>
      <color theme="1"/>
      <name val="Meiryo UI"/>
      <family val="3"/>
      <charset val="128"/>
    </font>
    <font>
      <sz val="11"/>
      <color theme="1"/>
      <name val="游ゴシック"/>
      <family val="2"/>
      <scheme val="minor"/>
    </font>
    <font>
      <sz val="11"/>
      <name val="Meiryo UI"/>
      <family val="3"/>
      <charset val="128"/>
    </font>
    <font>
      <b/>
      <sz val="11"/>
      <name val="Meiryo UI"/>
      <family val="3"/>
      <charset val="128"/>
    </font>
    <font>
      <b/>
      <sz val="11"/>
      <color theme="1"/>
      <name val="Meiryo UI"/>
      <family val="3"/>
      <charset val="128"/>
    </font>
    <font>
      <b/>
      <sz val="11"/>
      <color theme="1"/>
      <name val="游ゴシック"/>
      <family val="3"/>
      <charset val="128"/>
      <scheme val="minor"/>
    </font>
    <font>
      <sz val="11"/>
      <color theme="1"/>
      <name val="游ゴシック"/>
      <family val="3"/>
      <charset val="128"/>
      <scheme val="minor"/>
    </font>
    <font>
      <sz val="11"/>
      <name val="游ゴシック"/>
      <family val="3"/>
      <charset val="128"/>
      <scheme val="minor"/>
    </font>
    <font>
      <b/>
      <sz val="11"/>
      <color rgb="FFFF0000"/>
      <name val="游ゴシック"/>
      <family val="3"/>
      <charset val="128"/>
      <scheme val="minor"/>
    </font>
  </fonts>
  <fills count="11">
    <fill>
      <patternFill patternType="none"/>
    </fill>
    <fill>
      <patternFill patternType="gray125"/>
    </fill>
    <fill>
      <patternFill patternType="solid">
        <fgColor theme="3"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5" tint="0.39997558519241921"/>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diagonal/>
    </border>
    <border>
      <left/>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bottom style="medium">
        <color indexed="64"/>
      </bottom>
      <diagonal/>
    </border>
    <border>
      <left/>
      <right/>
      <top/>
      <bottom style="medium">
        <color indexed="64"/>
      </bottom>
      <diagonal/>
    </border>
    <border>
      <left style="thin">
        <color auto="1"/>
      </left>
      <right style="thin">
        <color auto="1"/>
      </right>
      <top style="hair">
        <color theme="0" tint="-0.34998626667073579"/>
      </top>
      <bottom style="hair">
        <color theme="0" tint="-0.34998626667073579"/>
      </bottom>
      <diagonal/>
    </border>
    <border>
      <left style="medium">
        <color indexed="64"/>
      </left>
      <right style="thin">
        <color auto="1"/>
      </right>
      <top style="medium">
        <color indexed="64"/>
      </top>
      <bottom style="hair">
        <color theme="0" tint="-0.34998626667073579"/>
      </bottom>
      <diagonal/>
    </border>
    <border>
      <left style="thin">
        <color auto="1"/>
      </left>
      <right style="thin">
        <color auto="1"/>
      </right>
      <top style="medium">
        <color indexed="64"/>
      </top>
      <bottom style="hair">
        <color theme="0" tint="-0.34998626667073579"/>
      </bottom>
      <diagonal/>
    </border>
    <border>
      <left style="thin">
        <color auto="1"/>
      </left>
      <right style="medium">
        <color indexed="64"/>
      </right>
      <top style="medium">
        <color indexed="64"/>
      </top>
      <bottom style="hair">
        <color theme="0" tint="-0.34998626667073579"/>
      </bottom>
      <diagonal/>
    </border>
    <border>
      <left style="medium">
        <color indexed="64"/>
      </left>
      <right style="thin">
        <color auto="1"/>
      </right>
      <top style="hair">
        <color theme="0" tint="-0.34998626667073579"/>
      </top>
      <bottom style="hair">
        <color theme="0" tint="-0.34998626667073579"/>
      </bottom>
      <diagonal/>
    </border>
    <border>
      <left style="thin">
        <color auto="1"/>
      </left>
      <right style="medium">
        <color indexed="64"/>
      </right>
      <top style="hair">
        <color theme="0" tint="-0.34998626667073579"/>
      </top>
      <bottom style="hair">
        <color theme="0" tint="-0.34998626667073579"/>
      </bottom>
      <diagonal/>
    </border>
    <border>
      <left style="medium">
        <color indexed="64"/>
      </left>
      <right style="thin">
        <color auto="1"/>
      </right>
      <top style="hair">
        <color theme="0" tint="-0.34998626667073579"/>
      </top>
      <bottom style="medium">
        <color indexed="64"/>
      </bottom>
      <diagonal/>
    </border>
    <border>
      <left style="thin">
        <color auto="1"/>
      </left>
      <right style="thin">
        <color auto="1"/>
      </right>
      <top style="hair">
        <color theme="0" tint="-0.34998626667073579"/>
      </top>
      <bottom style="medium">
        <color indexed="64"/>
      </bottom>
      <diagonal/>
    </border>
    <border>
      <left style="thin">
        <color auto="1"/>
      </left>
      <right style="medium">
        <color indexed="64"/>
      </right>
      <top style="hair">
        <color theme="0" tint="-0.34998626667073579"/>
      </top>
      <bottom style="medium">
        <color indexed="64"/>
      </bottom>
      <diagonal/>
    </border>
    <border>
      <left/>
      <right style="thin">
        <color auto="1"/>
      </right>
      <top/>
      <bottom/>
      <diagonal/>
    </border>
    <border>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thin">
        <color auto="1"/>
      </right>
      <top style="medium">
        <color indexed="64"/>
      </top>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style="thin">
        <color auto="1"/>
      </right>
      <top/>
      <bottom style="hair">
        <color theme="0" tint="-0.34998626667073579"/>
      </bottom>
      <diagonal/>
    </border>
    <border>
      <left style="thin">
        <color auto="1"/>
      </left>
      <right style="thin">
        <color auto="1"/>
      </right>
      <top/>
      <bottom style="hair">
        <color theme="0" tint="-0.34998626667073579"/>
      </bottom>
      <diagonal/>
    </border>
    <border>
      <left style="thin">
        <color auto="1"/>
      </left>
      <right style="medium">
        <color indexed="64"/>
      </right>
      <top/>
      <bottom style="hair">
        <color theme="0" tint="-0.34998626667073579"/>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s>
  <cellStyleXfs count="4">
    <xf numFmtId="0" fontId="0" fillId="0" borderId="0">
      <alignment vertical="center"/>
    </xf>
    <xf numFmtId="9" fontId="4" fillId="0" borderId="0" applyFont="0" applyFill="0" applyBorder="0" applyAlignment="0" applyProtection="0">
      <alignment vertical="center"/>
    </xf>
    <xf numFmtId="0" fontId="6" fillId="0" borderId="0"/>
    <xf numFmtId="9" fontId="6" fillId="0" borderId="0" applyFont="0" applyFill="0" applyBorder="0" applyAlignment="0" applyProtection="0">
      <alignment vertical="center"/>
    </xf>
  </cellStyleXfs>
  <cellXfs count="175">
    <xf numFmtId="0" fontId="0" fillId="0" borderId="0" xfId="0">
      <alignment vertical="center"/>
    </xf>
    <xf numFmtId="49" fontId="0" fillId="0" borderId="0" xfId="0" applyNumberFormat="1">
      <alignment vertical="center"/>
    </xf>
    <xf numFmtId="0" fontId="0" fillId="2" borderId="1" xfId="0" applyFill="1" applyBorder="1">
      <alignment vertical="center"/>
    </xf>
    <xf numFmtId="0" fontId="0" fillId="3" borderId="1" xfId="0" applyFill="1" applyBorder="1">
      <alignment vertical="center"/>
    </xf>
    <xf numFmtId="2" fontId="0" fillId="0" borderId="1" xfId="0" applyNumberFormat="1" applyBorder="1">
      <alignment vertical="center"/>
    </xf>
    <xf numFmtId="0" fontId="2" fillId="0" borderId="0" xfId="0" applyFont="1">
      <alignment vertical="center"/>
    </xf>
    <xf numFmtId="2" fontId="0" fillId="3" borderId="1" xfId="0" applyNumberFormat="1" applyFill="1" applyBorder="1">
      <alignment vertical="center"/>
    </xf>
    <xf numFmtId="0" fontId="0" fillId="0" borderId="1" xfId="0" applyBorder="1">
      <alignment vertical="center"/>
    </xf>
    <xf numFmtId="49" fontId="0" fillId="0" borderId="1" xfId="0" applyNumberFormat="1" applyBorder="1">
      <alignment vertical="center"/>
    </xf>
    <xf numFmtId="176" fontId="0" fillId="0" borderId="1" xfId="0" applyNumberFormat="1" applyBorder="1">
      <alignment vertical="center"/>
    </xf>
    <xf numFmtId="176" fontId="0" fillId="0" borderId="0" xfId="0" applyNumberFormat="1">
      <alignment vertical="center"/>
    </xf>
    <xf numFmtId="0" fontId="5" fillId="0" borderId="0" xfId="2" applyFont="1" applyAlignment="1">
      <alignment vertical="center"/>
    </xf>
    <xf numFmtId="179" fontId="5" fillId="0" borderId="0" xfId="2" applyNumberFormat="1" applyFont="1" applyAlignment="1">
      <alignment vertical="center"/>
    </xf>
    <xf numFmtId="179" fontId="7" fillId="0" borderId="0" xfId="2" applyNumberFormat="1" applyFont="1" applyAlignment="1">
      <alignment vertical="center"/>
    </xf>
    <xf numFmtId="0" fontId="7" fillId="0" borderId="0" xfId="2" applyFont="1" applyAlignment="1">
      <alignment vertical="center"/>
    </xf>
    <xf numFmtId="0" fontId="7" fillId="0" borderId="0" xfId="2" applyFont="1" applyAlignment="1">
      <alignment horizontal="right" vertical="center"/>
    </xf>
    <xf numFmtId="0" fontId="8" fillId="0" borderId="0" xfId="2" applyFont="1" applyAlignment="1">
      <alignment horizontal="right" vertical="center"/>
    </xf>
    <xf numFmtId="0" fontId="9" fillId="0" borderId="0" xfId="2" applyFont="1" applyAlignment="1">
      <alignment horizontal="right" vertical="center"/>
    </xf>
    <xf numFmtId="0" fontId="5" fillId="0" borderId="0" xfId="2" applyFont="1" applyAlignment="1">
      <alignment horizontal="right" vertical="center"/>
    </xf>
    <xf numFmtId="176" fontId="5" fillId="0" borderId="0" xfId="2" applyNumberFormat="1" applyFont="1" applyAlignment="1">
      <alignment vertical="center"/>
    </xf>
    <xf numFmtId="0" fontId="5" fillId="8" borderId="17" xfId="2" applyFont="1" applyFill="1" applyBorder="1" applyAlignment="1">
      <alignment horizontal="center" vertical="center"/>
    </xf>
    <xf numFmtId="0" fontId="5" fillId="8" borderId="0" xfId="2" applyFont="1" applyFill="1" applyAlignment="1">
      <alignment horizontal="center" vertical="center"/>
    </xf>
    <xf numFmtId="0" fontId="5" fillId="8" borderId="5" xfId="2" applyFont="1" applyFill="1" applyBorder="1" applyAlignment="1">
      <alignment horizontal="center" vertical="center"/>
    </xf>
    <xf numFmtId="0" fontId="5" fillId="8" borderId="14" xfId="2" applyFont="1" applyFill="1" applyBorder="1" applyAlignment="1">
      <alignment horizontal="center" vertical="center" wrapText="1"/>
    </xf>
    <xf numFmtId="0" fontId="5" fillId="8" borderId="13" xfId="2" applyFont="1" applyFill="1" applyBorder="1" applyAlignment="1">
      <alignment horizontal="center" vertical="center" wrapText="1"/>
    </xf>
    <xf numFmtId="0" fontId="5" fillId="8" borderId="12" xfId="2" applyFont="1" applyFill="1" applyBorder="1" applyAlignment="1">
      <alignment horizontal="center" vertical="center" wrapText="1"/>
    </xf>
    <xf numFmtId="0" fontId="5" fillId="0" borderId="26" xfId="2" applyFont="1" applyBorder="1" applyAlignment="1">
      <alignment horizontal="center" vertical="center"/>
    </xf>
    <xf numFmtId="179" fontId="5" fillId="3" borderId="26" xfId="2" applyNumberFormat="1" applyFont="1" applyFill="1" applyBorder="1" applyAlignment="1">
      <alignment vertical="center"/>
    </xf>
    <xf numFmtId="0" fontId="5" fillId="3" borderId="26" xfId="2" applyFont="1" applyFill="1" applyBorder="1" applyAlignment="1">
      <alignment vertical="center"/>
    </xf>
    <xf numFmtId="177" fontId="5" fillId="0" borderId="26" xfId="1" applyNumberFormat="1" applyFont="1" applyFill="1" applyBorder="1" applyAlignment="1">
      <alignment vertical="center"/>
    </xf>
    <xf numFmtId="179" fontId="5" fillId="3" borderId="28" xfId="2" applyNumberFormat="1" applyFont="1" applyFill="1" applyBorder="1" applyAlignment="1">
      <alignment vertical="center"/>
    </xf>
    <xf numFmtId="0" fontId="5" fillId="3" borderId="28" xfId="2" applyFont="1" applyFill="1" applyBorder="1" applyAlignment="1">
      <alignment vertical="center"/>
    </xf>
    <xf numFmtId="0" fontId="5" fillId="6" borderId="25" xfId="2" applyFont="1" applyFill="1" applyBorder="1" applyAlignment="1">
      <alignment vertical="center"/>
    </xf>
    <xf numFmtId="0" fontId="5" fillId="0" borderId="28" xfId="2" applyFont="1" applyBorder="1" applyAlignment="1">
      <alignment horizontal="center" vertical="center"/>
    </xf>
    <xf numFmtId="0" fontId="5" fillId="5" borderId="33" xfId="2" applyFont="1" applyFill="1" applyBorder="1" applyAlignment="1">
      <alignment horizontal="center" vertical="center"/>
    </xf>
    <xf numFmtId="179" fontId="5" fillId="5" borderId="33" xfId="2" applyNumberFormat="1" applyFont="1" applyFill="1" applyBorder="1" applyAlignment="1">
      <alignment vertical="center"/>
    </xf>
    <xf numFmtId="0" fontId="5" fillId="6" borderId="0" xfId="2" applyFont="1" applyFill="1" applyAlignment="1">
      <alignment vertical="center"/>
    </xf>
    <xf numFmtId="0" fontId="5" fillId="6" borderId="11" xfId="2" applyFont="1" applyFill="1" applyBorder="1" applyAlignment="1">
      <alignment horizontal="center" vertical="center"/>
    </xf>
    <xf numFmtId="179" fontId="7" fillId="6" borderId="35" xfId="2" applyNumberFormat="1" applyFont="1" applyFill="1" applyBorder="1" applyAlignment="1">
      <alignment vertical="center"/>
    </xf>
    <xf numFmtId="179" fontId="7" fillId="6" borderId="7" xfId="2" applyNumberFormat="1" applyFont="1" applyFill="1" applyBorder="1" applyAlignment="1">
      <alignment vertical="center"/>
    </xf>
    <xf numFmtId="177" fontId="7" fillId="6" borderId="9" xfId="1" applyNumberFormat="1" applyFont="1" applyFill="1" applyBorder="1" applyAlignment="1">
      <alignment vertical="center"/>
    </xf>
    <xf numFmtId="179" fontId="7" fillId="6" borderId="3" xfId="3" applyNumberFormat="1" applyFont="1" applyFill="1" applyBorder="1" applyAlignment="1">
      <alignment vertical="center"/>
    </xf>
    <xf numFmtId="179" fontId="7" fillId="6" borderId="3" xfId="2" applyNumberFormat="1" applyFont="1" applyFill="1" applyBorder="1" applyAlignment="1">
      <alignment vertical="center"/>
    </xf>
    <xf numFmtId="179" fontId="7" fillId="6" borderId="9" xfId="3" applyNumberFormat="1" applyFont="1" applyFill="1" applyBorder="1" applyAlignment="1">
      <alignment vertical="center"/>
    </xf>
    <xf numFmtId="0" fontId="5" fillId="6" borderId="11" xfId="2" applyFont="1" applyFill="1" applyBorder="1" applyAlignment="1">
      <alignment vertical="center"/>
    </xf>
    <xf numFmtId="179" fontId="8" fillId="6" borderId="3" xfId="2" applyNumberFormat="1" applyFont="1" applyFill="1" applyBorder="1" applyAlignment="1">
      <alignment vertical="center"/>
    </xf>
    <xf numFmtId="0" fontId="5" fillId="6" borderId="10" xfId="2" applyFont="1" applyFill="1" applyBorder="1" applyAlignment="1">
      <alignment vertical="center"/>
    </xf>
    <xf numFmtId="179" fontId="5" fillId="6" borderId="8" xfId="2" applyNumberFormat="1" applyFont="1" applyFill="1" applyBorder="1" applyAlignment="1">
      <alignment horizontal="center" vertical="center"/>
    </xf>
    <xf numFmtId="177" fontId="5" fillId="6" borderId="24" xfId="3" applyNumberFormat="1" applyFont="1" applyFill="1" applyBorder="1" applyAlignment="1">
      <alignment horizontal="center" vertical="center"/>
    </xf>
    <xf numFmtId="179" fontId="7" fillId="6" borderId="36" xfId="2" applyNumberFormat="1" applyFont="1" applyFill="1" applyBorder="1" applyAlignment="1">
      <alignment vertical="center"/>
    </xf>
    <xf numFmtId="179" fontId="7" fillId="6" borderId="37" xfId="3" applyNumberFormat="1" applyFont="1" applyFill="1" applyBorder="1" applyAlignment="1">
      <alignment vertical="center"/>
    </xf>
    <xf numFmtId="179" fontId="7" fillId="6" borderId="37" xfId="2" applyNumberFormat="1" applyFont="1" applyFill="1" applyBorder="1" applyAlignment="1">
      <alignment vertical="center"/>
    </xf>
    <xf numFmtId="179" fontId="7" fillId="6" borderId="24" xfId="3" applyNumberFormat="1" applyFont="1" applyFill="1" applyBorder="1" applyAlignment="1">
      <alignment vertical="center"/>
    </xf>
    <xf numFmtId="179" fontId="5" fillId="3" borderId="33" xfId="2" applyNumberFormat="1" applyFont="1" applyFill="1" applyBorder="1" applyAlignment="1">
      <alignment vertical="center"/>
    </xf>
    <xf numFmtId="0" fontId="5" fillId="3" borderId="33" xfId="2" applyFont="1" applyFill="1" applyBorder="1" applyAlignment="1">
      <alignment vertical="center"/>
    </xf>
    <xf numFmtId="0" fontId="5" fillId="6" borderId="8" xfId="2" applyFont="1" applyFill="1" applyBorder="1" applyAlignment="1">
      <alignment horizontal="center" vertical="center"/>
    </xf>
    <xf numFmtId="177" fontId="7" fillId="6" borderId="37" xfId="1" applyNumberFormat="1" applyFont="1" applyFill="1" applyBorder="1" applyAlignment="1">
      <alignment vertical="center"/>
    </xf>
    <xf numFmtId="0" fontId="5" fillId="6" borderId="7" xfId="2" applyFont="1" applyFill="1" applyBorder="1" applyAlignment="1">
      <alignment horizontal="center" vertical="center"/>
    </xf>
    <xf numFmtId="177" fontId="7" fillId="6" borderId="3" xfId="1" applyNumberFormat="1" applyFont="1" applyFill="1" applyBorder="1" applyAlignment="1">
      <alignment vertical="center"/>
    </xf>
    <xf numFmtId="179" fontId="5" fillId="6" borderId="37" xfId="2" applyNumberFormat="1" applyFont="1" applyFill="1" applyBorder="1" applyAlignment="1">
      <alignment horizontal="center" vertical="center"/>
    </xf>
    <xf numFmtId="0" fontId="5" fillId="6" borderId="37" xfId="2" applyFont="1" applyFill="1" applyBorder="1" applyAlignment="1">
      <alignment horizontal="center" vertical="center"/>
    </xf>
    <xf numFmtId="179" fontId="5" fillId="6" borderId="3" xfId="2" applyNumberFormat="1" applyFont="1" applyFill="1" applyBorder="1" applyAlignment="1">
      <alignment horizontal="center" vertical="center"/>
    </xf>
    <xf numFmtId="0" fontId="5" fillId="6" borderId="3" xfId="2" applyFont="1" applyFill="1" applyBorder="1" applyAlignment="1">
      <alignment horizontal="center" vertical="center"/>
    </xf>
    <xf numFmtId="178" fontId="5" fillId="0" borderId="0" xfId="2" applyNumberFormat="1" applyFont="1" applyAlignment="1">
      <alignment vertical="center"/>
    </xf>
    <xf numFmtId="179" fontId="5" fillId="0" borderId="28" xfId="2" applyNumberFormat="1" applyFont="1" applyBorder="1" applyAlignment="1">
      <alignment vertical="center"/>
    </xf>
    <xf numFmtId="179" fontId="5" fillId="0" borderId="29" xfId="2" applyNumberFormat="1" applyFont="1" applyBorder="1" applyAlignment="1">
      <alignment vertical="center"/>
    </xf>
    <xf numFmtId="179" fontId="5" fillId="5" borderId="34" xfId="2" applyNumberFormat="1" applyFont="1" applyFill="1" applyBorder="1" applyAlignment="1">
      <alignment vertical="center"/>
    </xf>
    <xf numFmtId="179" fontId="5" fillId="8" borderId="5" xfId="2" applyNumberFormat="1" applyFont="1" applyFill="1" applyBorder="1" applyAlignment="1">
      <alignment horizontal="center" vertical="center"/>
    </xf>
    <xf numFmtId="179" fontId="5" fillId="8" borderId="0" xfId="2" applyNumberFormat="1" applyFont="1" applyFill="1" applyAlignment="1">
      <alignment horizontal="center" vertical="center"/>
    </xf>
    <xf numFmtId="179" fontId="5" fillId="8" borderId="17" xfId="2" applyNumberFormat="1" applyFont="1" applyFill="1" applyBorder="1" applyAlignment="1">
      <alignment horizontal="center" vertical="center"/>
    </xf>
    <xf numFmtId="179" fontId="5" fillId="8" borderId="14" xfId="2" applyNumberFormat="1" applyFont="1" applyFill="1" applyBorder="1" applyAlignment="1">
      <alignment horizontal="center" vertical="center" wrapText="1"/>
    </xf>
    <xf numFmtId="179" fontId="5" fillId="8" borderId="13" xfId="2" applyNumberFormat="1" applyFont="1" applyFill="1" applyBorder="1" applyAlignment="1">
      <alignment horizontal="center" vertical="center" wrapText="1"/>
    </xf>
    <xf numFmtId="179" fontId="5" fillId="8" borderId="12" xfId="2" applyNumberFormat="1" applyFont="1" applyFill="1" applyBorder="1" applyAlignment="1">
      <alignment horizontal="center" vertical="center" wrapText="1"/>
    </xf>
    <xf numFmtId="179" fontId="7" fillId="0" borderId="26" xfId="2" applyNumberFormat="1" applyFont="1" applyBorder="1" applyAlignment="1">
      <alignment vertical="center"/>
    </xf>
    <xf numFmtId="179" fontId="7" fillId="0" borderId="31" xfId="2" applyNumberFormat="1" applyFont="1" applyBorder="1" applyAlignment="1">
      <alignment vertical="center"/>
    </xf>
    <xf numFmtId="179" fontId="7" fillId="0" borderId="33" xfId="2" applyNumberFormat="1" applyFont="1" applyBorder="1" applyAlignment="1">
      <alignment vertical="center"/>
    </xf>
    <xf numFmtId="179" fontId="7" fillId="0" borderId="34" xfId="2" applyNumberFormat="1" applyFont="1" applyBorder="1" applyAlignment="1">
      <alignment vertical="center"/>
    </xf>
    <xf numFmtId="177" fontId="5" fillId="0" borderId="28" xfId="1" applyNumberFormat="1" applyFont="1" applyFill="1" applyBorder="1" applyAlignment="1">
      <alignment vertical="center"/>
    </xf>
    <xf numFmtId="179" fontId="5" fillId="0" borderId="26" xfId="2" applyNumberFormat="1" applyFont="1" applyBorder="1" applyAlignment="1">
      <alignment vertical="center"/>
    </xf>
    <xf numFmtId="179" fontId="5" fillId="0" borderId="33" xfId="2" applyNumberFormat="1" applyFont="1" applyBorder="1" applyAlignment="1">
      <alignment vertical="center"/>
    </xf>
    <xf numFmtId="177" fontId="5" fillId="0" borderId="33" xfId="1" applyNumberFormat="1" applyFont="1" applyFill="1" applyBorder="1" applyAlignment="1">
      <alignment vertical="center"/>
    </xf>
    <xf numFmtId="179" fontId="5" fillId="0" borderId="31" xfId="2" applyNumberFormat="1" applyFont="1" applyBorder="1" applyAlignment="1">
      <alignment vertical="center"/>
    </xf>
    <xf numFmtId="179" fontId="5" fillId="0" borderId="34" xfId="2" applyNumberFormat="1" applyFont="1" applyBorder="1" applyAlignment="1">
      <alignment vertical="center"/>
    </xf>
    <xf numFmtId="0" fontId="5" fillId="0" borderId="33" xfId="2" applyFont="1" applyBorder="1" applyAlignment="1">
      <alignment horizontal="center" vertical="center"/>
    </xf>
    <xf numFmtId="179" fontId="7" fillId="0" borderId="26" xfId="2" applyNumberFormat="1" applyFont="1" applyBorder="1" applyAlignment="1">
      <alignment horizontal="center" vertical="center"/>
    </xf>
    <xf numFmtId="179" fontId="5" fillId="9" borderId="13" xfId="2" applyNumberFormat="1" applyFont="1" applyFill="1" applyBorder="1" applyAlignment="1">
      <alignment horizontal="center" vertical="center"/>
    </xf>
    <xf numFmtId="0" fontId="5" fillId="9" borderId="12" xfId="2" applyFont="1" applyFill="1" applyBorder="1" applyAlignment="1">
      <alignment horizontal="center" vertical="center"/>
    </xf>
    <xf numFmtId="179" fontId="5" fillId="3" borderId="38" xfId="2" applyNumberFormat="1" applyFont="1" applyFill="1" applyBorder="1" applyAlignment="1">
      <alignment horizontal="center" vertical="center" textRotation="255" wrapText="1"/>
    </xf>
    <xf numFmtId="179" fontId="5" fillId="3" borderId="3" xfId="2" applyNumberFormat="1" applyFont="1" applyFill="1" applyBorder="1" applyAlignment="1">
      <alignment horizontal="center" vertical="center" textRotation="255" wrapText="1"/>
    </xf>
    <xf numFmtId="179" fontId="5" fillId="3" borderId="37" xfId="2" applyNumberFormat="1" applyFont="1" applyFill="1" applyBorder="1" applyAlignment="1">
      <alignment horizontal="center" vertical="center" textRotation="255" wrapText="1"/>
    </xf>
    <xf numFmtId="179" fontId="5" fillId="9" borderId="2" xfId="2" applyNumberFormat="1" applyFont="1" applyFill="1" applyBorder="1" applyAlignment="1">
      <alignment horizontal="center" vertical="center"/>
    </xf>
    <xf numFmtId="179" fontId="7" fillId="6" borderId="0" xfId="2" applyNumberFormat="1" applyFont="1" applyFill="1" applyAlignment="1">
      <alignment vertical="center"/>
    </xf>
    <xf numFmtId="179" fontId="5" fillId="6" borderId="25" xfId="2" applyNumberFormat="1" applyFont="1" applyFill="1" applyBorder="1" applyAlignment="1">
      <alignment horizontal="center" vertical="center"/>
    </xf>
    <xf numFmtId="0" fontId="10" fillId="8" borderId="1" xfId="2" applyFont="1" applyFill="1" applyBorder="1" applyAlignment="1">
      <alignment horizontal="center" vertical="center" wrapText="1"/>
    </xf>
    <xf numFmtId="0" fontId="11" fillId="0" borderId="0" xfId="2" applyFont="1" applyAlignment="1">
      <alignment vertical="center"/>
    </xf>
    <xf numFmtId="179" fontId="11" fillId="0" borderId="0" xfId="2" applyNumberFormat="1" applyFont="1" applyAlignment="1">
      <alignment vertical="center"/>
    </xf>
    <xf numFmtId="0" fontId="10" fillId="9" borderId="1" xfId="2" applyFont="1" applyFill="1" applyBorder="1" applyAlignment="1">
      <alignment horizontal="center" vertical="center"/>
    </xf>
    <xf numFmtId="179" fontId="10" fillId="9" borderId="1" xfId="2" applyNumberFormat="1" applyFont="1" applyFill="1" applyBorder="1" applyAlignment="1">
      <alignment horizontal="center" vertical="center"/>
    </xf>
    <xf numFmtId="0" fontId="11" fillId="0" borderId="1" xfId="0" applyFont="1" applyBorder="1">
      <alignment vertical="center"/>
    </xf>
    <xf numFmtId="179" fontId="11" fillId="0" borderId="1" xfId="2" applyNumberFormat="1" applyFont="1" applyBorder="1" applyAlignment="1">
      <alignment vertical="center"/>
    </xf>
    <xf numFmtId="177" fontId="11" fillId="0" borderId="1" xfId="2" applyNumberFormat="1" applyFont="1" applyBorder="1" applyAlignment="1">
      <alignment vertical="center"/>
    </xf>
    <xf numFmtId="178" fontId="11" fillId="0" borderId="0" xfId="2" applyNumberFormat="1" applyFont="1" applyAlignment="1">
      <alignment vertical="center"/>
    </xf>
    <xf numFmtId="179" fontId="11" fillId="0" borderId="42" xfId="2" applyNumberFormat="1" applyFont="1" applyBorder="1" applyAlignment="1">
      <alignment vertical="center"/>
    </xf>
    <xf numFmtId="0" fontId="11" fillId="0" borderId="42" xfId="2" applyFont="1" applyBorder="1" applyAlignment="1">
      <alignment vertical="center"/>
    </xf>
    <xf numFmtId="179" fontId="11" fillId="0" borderId="43" xfId="2" applyNumberFormat="1" applyFont="1" applyBorder="1" applyAlignment="1">
      <alignment vertical="center"/>
    </xf>
    <xf numFmtId="179" fontId="11" fillId="0" borderId="26" xfId="2" applyNumberFormat="1" applyFont="1" applyBorder="1" applyAlignment="1">
      <alignment vertical="center"/>
    </xf>
    <xf numFmtId="0" fontId="11" fillId="0" borderId="26" xfId="2" applyFont="1" applyBorder="1" applyAlignment="1">
      <alignment vertical="center"/>
    </xf>
    <xf numFmtId="179" fontId="12" fillId="0" borderId="26" xfId="2" applyNumberFormat="1" applyFont="1" applyBorder="1" applyAlignment="1">
      <alignment horizontal="center" vertical="center"/>
    </xf>
    <xf numFmtId="176" fontId="11" fillId="0" borderId="0" xfId="2" applyNumberFormat="1" applyFont="1" applyAlignment="1">
      <alignment vertical="center"/>
    </xf>
    <xf numFmtId="179" fontId="11" fillId="0" borderId="33" xfId="2" applyNumberFormat="1" applyFont="1" applyBorder="1" applyAlignment="1">
      <alignment vertical="center"/>
    </xf>
    <xf numFmtId="0" fontId="11" fillId="0" borderId="33" xfId="2" applyFont="1" applyBorder="1" applyAlignment="1">
      <alignment vertical="center"/>
    </xf>
    <xf numFmtId="179" fontId="11" fillId="5" borderId="33" xfId="2" applyNumberFormat="1" applyFont="1" applyFill="1" applyBorder="1" applyAlignment="1">
      <alignment vertical="center"/>
    </xf>
    <xf numFmtId="179" fontId="11" fillId="5" borderId="34" xfId="2" applyNumberFormat="1" applyFont="1" applyFill="1" applyBorder="1" applyAlignment="1">
      <alignment vertical="center"/>
    </xf>
    <xf numFmtId="0" fontId="11" fillId="6" borderId="0" xfId="2" applyFont="1" applyFill="1" applyAlignment="1">
      <alignment vertical="center"/>
    </xf>
    <xf numFmtId="179" fontId="11" fillId="0" borderId="3" xfId="2" applyNumberFormat="1" applyFont="1" applyBorder="1" applyAlignment="1">
      <alignment horizontal="center" vertical="center"/>
    </xf>
    <xf numFmtId="0" fontId="11" fillId="0" borderId="3" xfId="2" applyFont="1" applyBorder="1" applyAlignment="1">
      <alignment horizontal="center" vertical="center"/>
    </xf>
    <xf numFmtId="179" fontId="12" fillId="6" borderId="3" xfId="2" applyNumberFormat="1" applyFont="1" applyFill="1" applyBorder="1" applyAlignment="1">
      <alignment vertical="center"/>
    </xf>
    <xf numFmtId="179" fontId="12" fillId="6" borderId="3" xfId="3" applyNumberFormat="1" applyFont="1" applyFill="1" applyBorder="1" applyAlignment="1">
      <alignment vertical="center"/>
    </xf>
    <xf numFmtId="179" fontId="12" fillId="6" borderId="9" xfId="3" applyNumberFormat="1" applyFont="1" applyFill="1" applyBorder="1" applyAlignment="1">
      <alignment vertical="center"/>
    </xf>
    <xf numFmtId="0" fontId="0" fillId="0" borderId="0" xfId="0" applyAlignment="1">
      <alignment horizontal="left" vertical="top"/>
    </xf>
    <xf numFmtId="0" fontId="0" fillId="0" borderId="0" xfId="0" applyAlignment="1">
      <alignment horizontal="center" vertical="center"/>
    </xf>
    <xf numFmtId="0" fontId="10" fillId="6" borderId="1" xfId="0" applyFont="1" applyFill="1" applyBorder="1" applyAlignment="1">
      <alignment horizontal="center" vertical="center"/>
    </xf>
    <xf numFmtId="0" fontId="0" fillId="0" borderId="49" xfId="0" applyBorder="1" applyAlignment="1">
      <alignment horizontal="left" vertical="center"/>
    </xf>
    <xf numFmtId="0" fontId="10" fillId="6" borderId="19" xfId="0" applyFont="1" applyFill="1" applyBorder="1" applyAlignment="1">
      <alignment horizontal="center" vertical="center"/>
    </xf>
    <xf numFmtId="0" fontId="10" fillId="10" borderId="2" xfId="0" applyFont="1" applyFill="1" applyBorder="1">
      <alignment vertical="center"/>
    </xf>
    <xf numFmtId="0" fontId="10" fillId="10" borderId="45" xfId="0" applyFont="1" applyFill="1" applyBorder="1" applyAlignment="1">
      <alignment vertical="center" wrapText="1"/>
    </xf>
    <xf numFmtId="176" fontId="0" fillId="0" borderId="49" xfId="0" applyNumberFormat="1" applyBorder="1" applyAlignment="1">
      <alignment horizontal="center" vertical="center"/>
    </xf>
    <xf numFmtId="0" fontId="0" fillId="0" borderId="49" xfId="0" applyBorder="1" applyAlignment="1">
      <alignment horizontal="center" vertical="center"/>
    </xf>
    <xf numFmtId="0" fontId="13" fillId="0" borderId="0" xfId="0" applyFont="1">
      <alignment vertical="center"/>
    </xf>
    <xf numFmtId="0" fontId="0" fillId="4" borderId="2" xfId="0" applyFill="1" applyBorder="1" applyAlignment="1">
      <alignment horizontal="left" vertical="top"/>
    </xf>
    <xf numFmtId="0" fontId="0" fillId="4" borderId="45" xfId="0" applyFill="1" applyBorder="1" applyAlignment="1">
      <alignment vertical="top"/>
    </xf>
    <xf numFmtId="0" fontId="0" fillId="4" borderId="50" xfId="0" applyFill="1" applyBorder="1" applyAlignment="1">
      <alignment horizontal="left" vertical="top"/>
    </xf>
    <xf numFmtId="0" fontId="0" fillId="4" borderId="35" xfId="0" applyFill="1" applyBorder="1" applyAlignment="1">
      <alignment vertical="top"/>
    </xf>
    <xf numFmtId="0" fontId="0" fillId="4" borderId="46" xfId="0" applyFill="1" applyBorder="1" applyAlignment="1">
      <alignment horizontal="left" vertical="top"/>
    </xf>
    <xf numFmtId="0" fontId="0" fillId="4" borderId="48" xfId="0" applyFill="1" applyBorder="1">
      <alignment vertical="center"/>
    </xf>
    <xf numFmtId="0" fontId="10" fillId="7" borderId="1" xfId="2" applyFont="1" applyFill="1" applyBorder="1" applyAlignment="1">
      <alignment horizontal="center" vertical="center"/>
    </xf>
    <xf numFmtId="0" fontId="10" fillId="9" borderId="1" xfId="2" applyFont="1" applyFill="1" applyBorder="1" applyAlignment="1">
      <alignment horizontal="center" vertical="center"/>
    </xf>
    <xf numFmtId="0" fontId="11" fillId="4" borderId="41" xfId="2" applyFont="1" applyFill="1" applyBorder="1" applyAlignment="1">
      <alignment horizontal="center" vertical="center" wrapText="1"/>
    </xf>
    <xf numFmtId="0" fontId="11" fillId="4" borderId="30" xfId="2" applyFont="1" applyFill="1" applyBorder="1" applyAlignment="1">
      <alignment horizontal="center" vertical="center" wrapText="1"/>
    </xf>
    <xf numFmtId="0" fontId="11" fillId="4" borderId="32" xfId="2" applyFont="1" applyFill="1" applyBorder="1" applyAlignment="1">
      <alignment horizontal="center" vertical="center" wrapText="1"/>
    </xf>
    <xf numFmtId="0" fontId="10" fillId="8" borderId="2" xfId="2" applyFont="1" applyFill="1" applyBorder="1" applyAlignment="1">
      <alignment horizontal="center" vertical="center"/>
    </xf>
    <xf numFmtId="0" fontId="10" fillId="8" borderId="44" xfId="2" applyFont="1" applyFill="1" applyBorder="1" applyAlignment="1">
      <alignment horizontal="center" vertical="center"/>
    </xf>
    <xf numFmtId="0" fontId="10" fillId="8" borderId="45" xfId="2" applyFont="1" applyFill="1" applyBorder="1" applyAlignment="1">
      <alignment horizontal="center" vertical="center"/>
    </xf>
    <xf numFmtId="0" fontId="10" fillId="8" borderId="46" xfId="2" applyFont="1" applyFill="1" applyBorder="1" applyAlignment="1">
      <alignment horizontal="center" vertical="center"/>
    </xf>
    <xf numFmtId="0" fontId="10" fillId="8" borderId="47" xfId="2" applyFont="1" applyFill="1" applyBorder="1" applyAlignment="1">
      <alignment horizontal="center" vertical="center"/>
    </xf>
    <xf numFmtId="0" fontId="10" fillId="8" borderId="48" xfId="2" applyFont="1" applyFill="1" applyBorder="1" applyAlignment="1">
      <alignment horizontal="center" vertical="center"/>
    </xf>
    <xf numFmtId="0" fontId="5" fillId="7" borderId="4" xfId="2" applyFont="1" applyFill="1" applyBorder="1" applyAlignment="1">
      <alignment horizontal="center" vertical="center"/>
    </xf>
    <xf numFmtId="0" fontId="5" fillId="7" borderId="20" xfId="2" applyFont="1" applyFill="1" applyBorder="1" applyAlignment="1">
      <alignment horizontal="center" vertical="center"/>
    </xf>
    <xf numFmtId="0" fontId="5" fillId="7" borderId="5" xfId="2" applyFont="1" applyFill="1" applyBorder="1" applyAlignment="1">
      <alignment horizontal="center" vertical="center"/>
    </xf>
    <xf numFmtId="0" fontId="5" fillId="7" borderId="17" xfId="2" applyFont="1" applyFill="1" applyBorder="1" applyAlignment="1">
      <alignment horizontal="center" vertical="center"/>
    </xf>
    <xf numFmtId="0" fontId="5" fillId="7" borderId="6" xfId="2" applyFont="1" applyFill="1" applyBorder="1" applyAlignment="1">
      <alignment horizontal="center" vertical="center"/>
    </xf>
    <xf numFmtId="0" fontId="5" fillId="7" borderId="16" xfId="2" applyFont="1" applyFill="1" applyBorder="1" applyAlignment="1">
      <alignment horizontal="center" vertical="center"/>
    </xf>
    <xf numFmtId="0" fontId="5" fillId="4" borderId="27" xfId="2" applyFont="1" applyFill="1" applyBorder="1" applyAlignment="1">
      <alignment horizontal="center" vertical="center" wrapText="1"/>
    </xf>
    <xf numFmtId="0" fontId="5" fillId="4" borderId="30" xfId="2" applyFont="1" applyFill="1" applyBorder="1" applyAlignment="1">
      <alignment horizontal="center" vertical="center" wrapText="1"/>
    </xf>
    <xf numFmtId="0" fontId="5" fillId="4" borderId="32" xfId="2" applyFont="1" applyFill="1" applyBorder="1" applyAlignment="1">
      <alignment horizontal="center" vertical="center" wrapText="1"/>
    </xf>
    <xf numFmtId="0" fontId="5" fillId="7" borderId="15" xfId="2" applyFont="1" applyFill="1" applyBorder="1" applyAlignment="1">
      <alignment horizontal="center" vertical="center" textRotation="255"/>
    </xf>
    <xf numFmtId="0" fontId="5" fillId="7" borderId="11" xfId="2" applyFont="1" applyFill="1" applyBorder="1" applyAlignment="1">
      <alignment horizontal="center" vertical="center" textRotation="255"/>
    </xf>
    <xf numFmtId="0" fontId="5" fillId="7" borderId="10" xfId="2" applyFont="1" applyFill="1" applyBorder="1" applyAlignment="1">
      <alignment horizontal="center" vertical="center" textRotation="255"/>
    </xf>
    <xf numFmtId="0" fontId="5" fillId="7" borderId="15" xfId="2" applyFont="1" applyFill="1" applyBorder="1" applyAlignment="1">
      <alignment horizontal="center" vertical="center"/>
    </xf>
    <xf numFmtId="0" fontId="5" fillId="7" borderId="11" xfId="2" applyFont="1" applyFill="1" applyBorder="1" applyAlignment="1">
      <alignment horizontal="center" vertical="center"/>
    </xf>
    <xf numFmtId="0" fontId="5" fillId="8" borderId="4" xfId="2" applyFont="1" applyFill="1" applyBorder="1" applyAlignment="1">
      <alignment horizontal="center" vertical="center"/>
    </xf>
    <xf numFmtId="0" fontId="5" fillId="8" borderId="21" xfId="2" applyFont="1" applyFill="1" applyBorder="1" applyAlignment="1">
      <alignment horizontal="center" vertical="center"/>
    </xf>
    <xf numFmtId="0" fontId="5" fillId="8" borderId="20" xfId="2" applyFont="1" applyFill="1" applyBorder="1" applyAlignment="1">
      <alignment horizontal="center" vertical="center"/>
    </xf>
    <xf numFmtId="0" fontId="5" fillId="9" borderId="19" xfId="2" applyFont="1" applyFill="1" applyBorder="1" applyAlignment="1">
      <alignment horizontal="center" vertical="center"/>
    </xf>
    <xf numFmtId="0" fontId="5" fillId="9" borderId="40" xfId="2" applyFont="1" applyFill="1" applyBorder="1" applyAlignment="1">
      <alignment horizontal="center" vertical="center"/>
    </xf>
    <xf numFmtId="0" fontId="5" fillId="9" borderId="18" xfId="2" applyFont="1" applyFill="1" applyBorder="1" applyAlignment="1">
      <alignment horizontal="center" vertical="center"/>
    </xf>
    <xf numFmtId="0" fontId="5" fillId="9" borderId="23" xfId="2" applyFont="1" applyFill="1" applyBorder="1" applyAlignment="1">
      <alignment horizontal="center" vertical="center"/>
    </xf>
    <xf numFmtId="0" fontId="5" fillId="9" borderId="39" xfId="2" applyFont="1" applyFill="1" applyBorder="1" applyAlignment="1">
      <alignment horizontal="center" vertical="center"/>
    </xf>
    <xf numFmtId="0" fontId="5" fillId="9" borderId="22" xfId="2" applyFont="1" applyFill="1" applyBorder="1" applyAlignment="1">
      <alignment horizontal="center" vertical="center"/>
    </xf>
    <xf numFmtId="179" fontId="5" fillId="3" borderId="38" xfId="2" applyNumberFormat="1" applyFont="1" applyFill="1" applyBorder="1" applyAlignment="1">
      <alignment horizontal="center" vertical="center" textRotation="255" wrapText="1"/>
    </xf>
    <xf numFmtId="179" fontId="5" fillId="3" borderId="3" xfId="2" applyNumberFormat="1" applyFont="1" applyFill="1" applyBorder="1" applyAlignment="1">
      <alignment horizontal="center" vertical="center" textRotation="255" wrapText="1"/>
    </xf>
    <xf numFmtId="179" fontId="5" fillId="3" borderId="37" xfId="2" applyNumberFormat="1" applyFont="1" applyFill="1" applyBorder="1" applyAlignment="1">
      <alignment horizontal="center" vertical="center" textRotation="255" wrapText="1"/>
    </xf>
    <xf numFmtId="179" fontId="5" fillId="8" borderId="4" xfId="2" applyNumberFormat="1" applyFont="1" applyFill="1" applyBorder="1" applyAlignment="1">
      <alignment horizontal="center" vertical="center"/>
    </xf>
    <xf numFmtId="179" fontId="5" fillId="8" borderId="21" xfId="2" applyNumberFormat="1" applyFont="1" applyFill="1" applyBorder="1" applyAlignment="1">
      <alignment horizontal="center" vertical="center"/>
    </xf>
    <xf numFmtId="179" fontId="5" fillId="8" borderId="20" xfId="2" applyNumberFormat="1" applyFont="1" applyFill="1" applyBorder="1" applyAlignment="1">
      <alignment horizontal="center" vertical="center"/>
    </xf>
  </cellXfs>
  <cellStyles count="4">
    <cellStyle name="パーセント" xfId="1" builtinId="5"/>
    <cellStyle name="パーセント 2" xfId="3" xr:uid="{EB8F7448-99D5-4F58-B69A-9F72BAAAEA4A}"/>
    <cellStyle name="標準" xfId="0" builtinId="0"/>
    <cellStyle name="標準 2" xfId="2" xr:uid="{35DECEAB-A874-4A31-B6F5-75B712B64A43}"/>
  </cellStyles>
  <dxfs count="20">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b val="0"/>
        <i val="0"/>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dxf>
    <dxf>
      <font>
        <color rgb="FFFF0000"/>
      </font>
      <fill>
        <patternFill>
          <bgColor theme="6" tint="0.79998168889431442"/>
        </patternFill>
      </fill>
    </dxf>
    <dxf>
      <font>
        <color rgb="FFFF0000"/>
      </font>
      <fill>
        <patternFill>
          <bgColor theme="6" tint="0.79998168889431442"/>
        </patternFill>
      </fill>
    </dxf>
    <dxf>
      <font>
        <color rgb="FFFF0000"/>
      </font>
    </dxf>
    <dxf>
      <font>
        <color rgb="FFFF0000"/>
      </font>
      <fill>
        <patternFill>
          <bgColor theme="6" tint="0.79998168889431442"/>
        </patternFill>
      </fill>
    </dxf>
    <dxf>
      <font>
        <color rgb="FFFF0000"/>
      </font>
      <fill>
        <patternFill>
          <bgColor theme="6" tint="0.79998168889431442"/>
        </patternFill>
      </fill>
    </dxf>
    <dxf>
      <font>
        <color rgb="FFFF0000"/>
      </font>
      <fill>
        <patternFill>
          <bgColor theme="6" tint="0.79998168889431442"/>
        </patternFill>
      </fill>
    </dxf>
    <dxf>
      <font>
        <color rgb="FFFF0000"/>
      </font>
    </dxf>
    <dxf>
      <font>
        <color rgb="FFFF0000"/>
      </font>
      <fill>
        <patternFill>
          <bgColor theme="6" tint="0.79998168889431442"/>
        </patternFill>
      </fill>
    </dxf>
    <dxf>
      <fill>
        <patternFill>
          <bgColor theme="6" tint="0.79998168889431442"/>
        </patternFill>
      </fill>
    </dxf>
    <dxf>
      <fill>
        <patternFill>
          <bgColor theme="2"/>
        </patternFill>
      </fill>
    </dxf>
  </dxfs>
  <tableStyles count="0" defaultTableStyle="TableStyleMedium2" defaultPivotStyle="PivotStyleLight16"/>
  <colors>
    <mruColors>
      <color rgb="FFF7BFE8"/>
      <color rgb="FFCC99FF"/>
      <color rgb="FFEFB7F5"/>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1958A-33FA-4C4A-B3B4-B13C570E4EA1}">
  <dimension ref="A1:G7"/>
  <sheetViews>
    <sheetView tabSelected="1" zoomScale="70" zoomScaleNormal="70" workbookViewId="0">
      <pane xSplit="5" ySplit="6" topLeftCell="F7" activePane="bottomRight" state="frozen"/>
      <selection pane="topRight" activeCell="F1" sqref="F1"/>
      <selection pane="bottomLeft" activeCell="A3" sqref="A3"/>
      <selection pane="bottomRight"/>
    </sheetView>
  </sheetViews>
  <sheetFormatPr defaultRowHeight="18" x14ac:dyDescent="0.45"/>
  <cols>
    <col min="1" max="1" width="19.296875" style="120" customWidth="1"/>
    <col min="2" max="2" width="30.69921875" style="120" customWidth="1"/>
    <col min="3" max="3" width="40.69921875" style="120" customWidth="1"/>
    <col min="4" max="5" width="15.69921875" style="120" customWidth="1"/>
    <col min="6" max="6" width="20.69921875" style="120" customWidth="1"/>
    <col min="7" max="7" width="20.69921875" customWidth="1"/>
  </cols>
  <sheetData>
    <row r="1" spans="1:7" x14ac:dyDescent="0.45">
      <c r="B1" s="128" t="s">
        <v>161</v>
      </c>
      <c r="C1"/>
    </row>
    <row r="2" spans="1:7" x14ac:dyDescent="0.45">
      <c r="B2" s="129" t="s">
        <v>162</v>
      </c>
      <c r="C2" s="130"/>
    </row>
    <row r="3" spans="1:7" x14ac:dyDescent="0.45">
      <c r="B3" s="131" t="s">
        <v>163</v>
      </c>
      <c r="C3" s="132"/>
    </row>
    <row r="4" spans="1:7" x14ac:dyDescent="0.45">
      <c r="A4" s="119"/>
      <c r="B4" s="133" t="s">
        <v>164</v>
      </c>
      <c r="C4" s="134"/>
      <c r="D4" s="119"/>
      <c r="E4" s="119"/>
    </row>
    <row r="5" spans="1:7" x14ac:dyDescent="0.45">
      <c r="A5" s="119"/>
      <c r="B5" s="119"/>
      <c r="C5" s="119"/>
      <c r="D5" s="119"/>
      <c r="E5" s="119"/>
      <c r="F5" s="124" t="s">
        <v>158</v>
      </c>
      <c r="G5" s="125"/>
    </row>
    <row r="6" spans="1:7" x14ac:dyDescent="0.45">
      <c r="A6" s="121" t="s">
        <v>151</v>
      </c>
      <c r="B6" s="121" t="s">
        <v>152</v>
      </c>
      <c r="C6" s="121" t="s">
        <v>153</v>
      </c>
      <c r="D6" s="121" t="s">
        <v>154</v>
      </c>
      <c r="E6" s="123" t="s">
        <v>155</v>
      </c>
      <c r="F6" s="96" t="s">
        <v>160</v>
      </c>
      <c r="G6" s="93" t="s">
        <v>159</v>
      </c>
    </row>
    <row r="7" spans="1:7" x14ac:dyDescent="0.45">
      <c r="A7" s="122" t="s">
        <v>156</v>
      </c>
      <c r="B7" s="122"/>
      <c r="C7" s="122"/>
      <c r="D7" s="122"/>
      <c r="E7" s="122"/>
      <c r="F7" s="126" t="s">
        <v>157</v>
      </c>
      <c r="G7" s="127"/>
    </row>
  </sheetData>
  <phoneticPr fontId="1"/>
  <conditionalFormatting sqref="F7:G7">
    <cfRule type="cellIs" dxfId="19" priority="1" operator="equal">
      <formula>""</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7CB32-E2DC-41F1-851C-45AF01A8E0CE}">
  <dimension ref="A1:AA9"/>
  <sheetViews>
    <sheetView zoomScale="70" zoomScaleNormal="70" workbookViewId="0">
      <pane xSplit="1" ySplit="4" topLeftCell="B5" activePane="bottomRight" state="frozen"/>
      <selection pane="topRight" activeCell="B1" sqref="B1"/>
      <selection pane="bottomLeft" activeCell="A5" sqref="A5"/>
      <selection pane="bottomRight" activeCell="B27" sqref="B27"/>
    </sheetView>
  </sheetViews>
  <sheetFormatPr defaultColWidth="8.19921875" defaultRowHeight="18" x14ac:dyDescent="0.45"/>
  <cols>
    <col min="1" max="1" width="2.59765625" style="94" customWidth="1"/>
    <col min="2" max="2" width="40.69921875" style="94" customWidth="1"/>
    <col min="3" max="4" width="13.69921875" style="95" customWidth="1"/>
    <col min="5" max="15" width="13.69921875" style="94" customWidth="1"/>
    <col min="16" max="16384" width="8.19921875" style="94"/>
  </cols>
  <sheetData>
    <row r="1" spans="1:27" x14ac:dyDescent="0.45">
      <c r="A1" s="94" t="s">
        <v>149</v>
      </c>
    </row>
    <row r="2" spans="1:27" ht="18" customHeight="1" x14ac:dyDescent="0.45">
      <c r="B2" s="135" t="s">
        <v>150</v>
      </c>
      <c r="C2" s="136" t="s">
        <v>55</v>
      </c>
      <c r="D2" s="136"/>
      <c r="E2" s="136"/>
      <c r="F2" s="140" t="s">
        <v>56</v>
      </c>
      <c r="G2" s="141"/>
      <c r="H2" s="141"/>
      <c r="I2" s="141"/>
      <c r="J2" s="141"/>
      <c r="K2" s="141"/>
      <c r="L2" s="141"/>
      <c r="M2" s="141"/>
      <c r="N2" s="141"/>
      <c r="O2" s="142"/>
    </row>
    <row r="3" spans="1:27" x14ac:dyDescent="0.45">
      <c r="B3" s="135"/>
      <c r="C3" s="136" t="s">
        <v>96</v>
      </c>
      <c r="D3" s="136"/>
      <c r="E3" s="136"/>
      <c r="F3" s="143"/>
      <c r="G3" s="144"/>
      <c r="H3" s="144"/>
      <c r="I3" s="144"/>
      <c r="J3" s="144"/>
      <c r="K3" s="144"/>
      <c r="L3" s="144"/>
      <c r="M3" s="144"/>
      <c r="N3" s="144"/>
      <c r="O3" s="145"/>
    </row>
    <row r="4" spans="1:27" ht="36" customHeight="1" x14ac:dyDescent="0.45">
      <c r="B4" s="135"/>
      <c r="C4" s="97" t="s">
        <v>140</v>
      </c>
      <c r="D4" s="97" t="s">
        <v>147</v>
      </c>
      <c r="E4" s="96" t="s">
        <v>57</v>
      </c>
      <c r="F4" s="93" t="s">
        <v>58</v>
      </c>
      <c r="G4" s="93" t="s">
        <v>59</v>
      </c>
      <c r="H4" s="93" t="s">
        <v>60</v>
      </c>
      <c r="I4" s="93" t="s">
        <v>139</v>
      </c>
      <c r="J4" s="93" t="s">
        <v>61</v>
      </c>
      <c r="K4" s="93" t="s">
        <v>62</v>
      </c>
      <c r="L4" s="93" t="s">
        <v>63</v>
      </c>
      <c r="M4" s="93" t="s">
        <v>64</v>
      </c>
      <c r="N4" s="93" t="s">
        <v>65</v>
      </c>
      <c r="O4" s="93" t="s">
        <v>66</v>
      </c>
    </row>
    <row r="5" spans="1:27" x14ac:dyDescent="0.45">
      <c r="B5" s="98" t="s">
        <v>148</v>
      </c>
      <c r="C5" s="99"/>
      <c r="D5" s="99"/>
      <c r="E5" s="100"/>
      <c r="F5" s="99"/>
      <c r="G5" s="99"/>
      <c r="H5" s="99"/>
      <c r="I5" s="99"/>
      <c r="J5" s="99"/>
      <c r="K5" s="99"/>
      <c r="L5" s="99"/>
      <c r="M5" s="99"/>
      <c r="N5" s="99"/>
      <c r="O5" s="99"/>
      <c r="Q5" s="101"/>
    </row>
    <row r="6" spans="1:27" hidden="1" x14ac:dyDescent="0.45">
      <c r="B6" s="137" t="s">
        <v>101</v>
      </c>
      <c r="C6" s="102"/>
      <c r="D6" s="102"/>
      <c r="E6" s="103"/>
      <c r="F6" s="102"/>
      <c r="G6" s="102"/>
      <c r="H6" s="102"/>
      <c r="I6" s="102"/>
      <c r="J6" s="102"/>
      <c r="K6" s="102"/>
      <c r="L6" s="102"/>
      <c r="M6" s="102"/>
      <c r="N6" s="102"/>
      <c r="O6" s="104"/>
    </row>
    <row r="7" spans="1:27" ht="18.600000000000001" hidden="1" thickBot="1" x14ac:dyDescent="0.5">
      <c r="B7" s="138"/>
      <c r="C7" s="105"/>
      <c r="D7" s="105"/>
      <c r="E7" s="106"/>
      <c r="F7" s="107"/>
      <c r="G7" s="107"/>
      <c r="H7" s="107"/>
      <c r="I7" s="107"/>
      <c r="J7" s="107"/>
      <c r="K7" s="107"/>
      <c r="L7" s="107"/>
      <c r="M7" s="107"/>
      <c r="N7" s="107"/>
      <c r="O7" s="107"/>
      <c r="P7" s="108"/>
      <c r="Q7" s="108"/>
      <c r="R7" s="108"/>
      <c r="S7" s="108"/>
      <c r="T7" s="108"/>
      <c r="U7" s="108"/>
      <c r="V7" s="108"/>
      <c r="W7" s="108"/>
      <c r="X7" s="108"/>
      <c r="Y7" s="108"/>
      <c r="Z7" s="108"/>
      <c r="AA7" s="108"/>
    </row>
    <row r="8" spans="1:27" ht="18.600000000000001" hidden="1" thickBot="1" x14ac:dyDescent="0.5">
      <c r="B8" s="139"/>
      <c r="C8" s="109"/>
      <c r="D8" s="109"/>
      <c r="E8" s="110"/>
      <c r="F8" s="111"/>
      <c r="G8" s="111"/>
      <c r="H8" s="111"/>
      <c r="I8" s="111"/>
      <c r="J8" s="111"/>
      <c r="K8" s="111"/>
      <c r="L8" s="111"/>
      <c r="M8" s="111"/>
      <c r="N8" s="111"/>
      <c r="O8" s="112"/>
      <c r="P8" s="108"/>
      <c r="Q8" s="108"/>
      <c r="R8" s="108"/>
      <c r="S8" s="108"/>
      <c r="T8" s="108"/>
      <c r="U8" s="108"/>
      <c r="V8" s="108"/>
      <c r="W8" s="108"/>
      <c r="X8" s="108"/>
      <c r="Y8" s="108"/>
      <c r="Z8" s="108"/>
      <c r="AA8" s="108"/>
    </row>
    <row r="9" spans="1:27" ht="18.600000000000001" hidden="1" thickBot="1" x14ac:dyDescent="0.5">
      <c r="B9" s="113" t="s">
        <v>91</v>
      </c>
      <c r="C9" s="114" t="s">
        <v>69</v>
      </c>
      <c r="D9" s="114"/>
      <c r="E9" s="115"/>
      <c r="F9" s="116"/>
      <c r="G9" s="117"/>
      <c r="H9" s="116"/>
      <c r="I9" s="117"/>
      <c r="J9" s="116"/>
      <c r="K9" s="117"/>
      <c r="L9" s="116"/>
      <c r="M9" s="117"/>
      <c r="N9" s="116"/>
      <c r="O9" s="118"/>
    </row>
  </sheetData>
  <mergeCells count="5">
    <mergeCell ref="B2:B4"/>
    <mergeCell ref="C2:E2"/>
    <mergeCell ref="C3:E3"/>
    <mergeCell ref="B6:B8"/>
    <mergeCell ref="F2:O3"/>
  </mergeCells>
  <phoneticPr fontId="1"/>
  <conditionalFormatting sqref="C5:E5">
    <cfRule type="cellIs" dxfId="18" priority="1" operator="equal">
      <formula>""</formula>
    </cfRule>
  </conditionalFormatting>
  <conditionalFormatting sqref="F5:O6">
    <cfRule type="cellIs" dxfId="17" priority="8" operator="lessThanOrEqual">
      <formula>3.4</formula>
    </cfRule>
  </conditionalFormatting>
  <conditionalFormatting sqref="F7:O7">
    <cfRule type="cellIs" dxfId="16" priority="13" operator="lessThanOrEqual">
      <formula>3.4</formula>
    </cfRule>
  </conditionalFormatting>
  <conditionalFormatting sqref="F8:O8">
    <cfRule type="cellIs" dxfId="15" priority="14" operator="lessThanOrEqual">
      <formula>3.4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31" id="{929A1E3A-38D3-44BC-9132-468325377686}">
            <x14:iconSet iconSet="3Arrows" custom="1">
              <x14:cfvo type="percent">
                <xm:f>0</xm:f>
              </x14:cfvo>
              <x14:cfvo type="num" gte="0">
                <xm:f>-0.25</xm:f>
              </x14:cfvo>
              <x14:cfvo type="num">
                <xm:f>0.25</xm:f>
              </x14:cfvo>
              <x14:cfIcon iconSet="3Arrows" iconId="0"/>
              <x14:cfIcon iconSet="NoIcons" iconId="0"/>
              <x14:cfIcon iconSet="3Arrows" iconId="2"/>
            </x14:iconSet>
          </x14:cfRule>
          <xm:sqref>F9:N9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06947-9AD3-4764-A00F-59E09793C545}">
  <sheetPr>
    <tabColor theme="8" tint="0.39997558519241921"/>
  </sheetPr>
  <dimension ref="B1:AC92"/>
  <sheetViews>
    <sheetView zoomScale="85" zoomScaleNormal="85" workbookViewId="0">
      <selection activeCell="H8" sqref="H8"/>
    </sheetView>
  </sheetViews>
  <sheetFormatPr defaultColWidth="8.19921875" defaultRowHeight="15" x14ac:dyDescent="0.45"/>
  <cols>
    <col min="1" max="1" width="2.59765625" style="11" customWidth="1"/>
    <col min="2" max="2" width="2.796875" style="11" customWidth="1"/>
    <col min="3" max="3" width="13.796875" style="11" customWidth="1"/>
    <col min="4" max="4" width="7.69921875" style="11" customWidth="1"/>
    <col min="5" max="6" width="7.3984375" style="12" customWidth="1"/>
    <col min="7" max="7" width="8.69921875" style="11" bestFit="1" customWidth="1"/>
    <col min="8" max="8" width="14.19921875" style="11" bestFit="1" customWidth="1"/>
    <col min="9" max="17" width="9.5" style="11" bestFit="1" customWidth="1"/>
    <col min="18" max="16384" width="8.19921875" style="11"/>
  </cols>
  <sheetData>
    <row r="1" spans="2:29" ht="15.6" thickBot="1" x14ac:dyDescent="0.5"/>
    <row r="2" spans="2:29" ht="18" customHeight="1" x14ac:dyDescent="0.45">
      <c r="B2" s="146" t="s">
        <v>53</v>
      </c>
      <c r="C2" s="147"/>
      <c r="D2" s="158" t="s">
        <v>54</v>
      </c>
      <c r="E2" s="166" t="s">
        <v>55</v>
      </c>
      <c r="F2" s="167"/>
      <c r="G2" s="168"/>
      <c r="H2" s="160" t="s">
        <v>56</v>
      </c>
      <c r="I2" s="161"/>
      <c r="J2" s="161"/>
      <c r="K2" s="161"/>
      <c r="L2" s="161"/>
      <c r="M2" s="161"/>
      <c r="N2" s="161"/>
      <c r="O2" s="161"/>
      <c r="P2" s="161"/>
      <c r="Q2" s="162"/>
    </row>
    <row r="3" spans="2:29" x14ac:dyDescent="0.45">
      <c r="B3" s="148"/>
      <c r="C3" s="149"/>
      <c r="D3" s="159"/>
      <c r="E3" s="163" t="s">
        <v>96</v>
      </c>
      <c r="F3" s="164"/>
      <c r="G3" s="165"/>
      <c r="H3" s="22"/>
      <c r="I3" s="21"/>
      <c r="J3" s="21"/>
      <c r="K3" s="21"/>
      <c r="L3" s="21"/>
      <c r="M3" s="21"/>
      <c r="N3" s="21"/>
      <c r="O3" s="21"/>
      <c r="P3" s="21"/>
      <c r="Q3" s="20"/>
    </row>
    <row r="4" spans="2:29" ht="30.6" thickBot="1" x14ac:dyDescent="0.5">
      <c r="B4" s="150"/>
      <c r="C4" s="151"/>
      <c r="D4" s="159"/>
      <c r="E4" s="85" t="s">
        <v>140</v>
      </c>
      <c r="F4" s="90" t="s">
        <v>146</v>
      </c>
      <c r="G4" s="86" t="s">
        <v>57</v>
      </c>
      <c r="H4" s="23" t="s">
        <v>58</v>
      </c>
      <c r="I4" s="24" t="s">
        <v>59</v>
      </c>
      <c r="J4" s="24" t="s">
        <v>60</v>
      </c>
      <c r="K4" s="24" t="s">
        <v>139</v>
      </c>
      <c r="L4" s="24" t="s">
        <v>61</v>
      </c>
      <c r="M4" s="24" t="s">
        <v>62</v>
      </c>
      <c r="N4" s="24" t="s">
        <v>63</v>
      </c>
      <c r="O4" s="24" t="s">
        <v>64</v>
      </c>
      <c r="P4" s="24" t="s">
        <v>65</v>
      </c>
      <c r="Q4" s="25" t="s">
        <v>66</v>
      </c>
    </row>
    <row r="5" spans="2:29" x14ac:dyDescent="0.45">
      <c r="B5" s="155" t="s">
        <v>89</v>
      </c>
      <c r="C5" s="152" t="s">
        <v>137</v>
      </c>
      <c r="D5" s="33" t="s">
        <v>144</v>
      </c>
      <c r="E5" s="30"/>
      <c r="F5" s="30"/>
      <c r="G5" s="31"/>
      <c r="H5" s="64" t="e">
        <f>#REF!</f>
        <v>#REF!</v>
      </c>
      <c r="I5" s="64" t="e">
        <f>#REF!</f>
        <v>#REF!</v>
      </c>
      <c r="J5" s="64" t="e">
        <f>#REF!</f>
        <v>#REF!</v>
      </c>
      <c r="K5" s="64" t="e">
        <f>#REF!</f>
        <v>#REF!</v>
      </c>
      <c r="L5" s="64" t="e">
        <f>#REF!</f>
        <v>#REF!</v>
      </c>
      <c r="M5" s="64" t="e">
        <f>#REF!</f>
        <v>#REF!</v>
      </c>
      <c r="N5" s="64" t="e">
        <f>#REF!</f>
        <v>#REF!</v>
      </c>
      <c r="O5" s="64" t="e">
        <f>#REF!</f>
        <v>#REF!</v>
      </c>
      <c r="P5" s="64" t="e">
        <f>#REF!</f>
        <v>#REF!</v>
      </c>
      <c r="Q5" s="65" t="e">
        <f>#REF!</f>
        <v>#REF!</v>
      </c>
      <c r="S5" s="63" t="s">
        <v>135</v>
      </c>
    </row>
    <row r="6" spans="2:29" x14ac:dyDescent="0.45">
      <c r="B6" s="156"/>
      <c r="C6" s="153"/>
      <c r="D6" s="26" t="s">
        <v>102</v>
      </c>
      <c r="E6" s="27"/>
      <c r="F6" s="27"/>
      <c r="G6" s="28"/>
      <c r="H6" s="78">
        <v>4.790613718411552</v>
      </c>
      <c r="I6" s="78">
        <v>4.4548736462093865</v>
      </c>
      <c r="J6" s="78">
        <v>4.4368231046931408</v>
      </c>
      <c r="K6" s="78">
        <v>4.3826714801444044</v>
      </c>
      <c r="L6" s="78">
        <v>4.6642599277978336</v>
      </c>
      <c r="M6" s="78">
        <v>4.5595667870036101</v>
      </c>
      <c r="N6" s="78">
        <v>4.6209386281588447</v>
      </c>
      <c r="O6" s="78">
        <v>4.7545126353790614</v>
      </c>
      <c r="P6" s="78">
        <v>4.2599277978339352</v>
      </c>
      <c r="Q6" s="81">
        <v>4.2418772563176894</v>
      </c>
      <c r="R6" s="19"/>
      <c r="S6" s="11" t="s">
        <v>136</v>
      </c>
      <c r="T6" s="19"/>
      <c r="U6" s="19"/>
      <c r="V6" s="19"/>
      <c r="W6" s="19"/>
      <c r="X6" s="19"/>
      <c r="Y6" s="19"/>
      <c r="Z6" s="19"/>
      <c r="AA6" s="19"/>
      <c r="AB6" s="19"/>
      <c r="AC6" s="19"/>
    </row>
    <row r="7" spans="2:29" ht="15.6" thickBot="1" x14ac:dyDescent="0.5">
      <c r="B7" s="156"/>
      <c r="C7" s="154"/>
      <c r="D7" s="83" t="s">
        <v>70</v>
      </c>
      <c r="E7" s="53"/>
      <c r="F7" s="53"/>
      <c r="G7" s="54"/>
      <c r="H7" s="79">
        <v>4.678260869565217</v>
      </c>
      <c r="I7" s="79">
        <v>4.2434782608695656</v>
      </c>
      <c r="J7" s="79">
        <v>4.3347826086956518</v>
      </c>
      <c r="K7" s="79">
        <v>4.1869565217391305</v>
      </c>
      <c r="L7" s="79">
        <v>4.4173913043478263</v>
      </c>
      <c r="M7" s="79">
        <v>4.3956521739130432</v>
      </c>
      <c r="N7" s="79">
        <v>4.4260869565217389</v>
      </c>
      <c r="O7" s="79">
        <v>4.5652173913043477</v>
      </c>
      <c r="P7" s="79">
        <v>4.0086956521739134</v>
      </c>
      <c r="Q7" s="82">
        <v>4.0434782608695654</v>
      </c>
      <c r="R7" s="19"/>
      <c r="S7" s="19"/>
      <c r="T7" s="19"/>
      <c r="U7" s="19"/>
      <c r="V7" s="19"/>
      <c r="W7" s="19"/>
      <c r="X7" s="19"/>
      <c r="Y7" s="19"/>
      <c r="Z7" s="19"/>
      <c r="AA7" s="19"/>
      <c r="AB7" s="19"/>
      <c r="AC7" s="19"/>
    </row>
    <row r="8" spans="2:29" ht="15.6" thickBot="1" x14ac:dyDescent="0.5">
      <c r="B8" s="156"/>
      <c r="C8" s="36" t="s">
        <v>91</v>
      </c>
      <c r="D8" s="57"/>
      <c r="E8" s="61" t="s">
        <v>69</v>
      </c>
      <c r="F8" s="61"/>
      <c r="G8" s="62" t="s">
        <v>69</v>
      </c>
      <c r="H8" s="42" t="e">
        <f>H5-H6</f>
        <v>#REF!</v>
      </c>
      <c r="I8" s="41" t="e">
        <f>I5-I6</f>
        <v>#REF!</v>
      </c>
      <c r="J8" s="42" t="e">
        <f t="shared" ref="J8:Q8" si="0">J5-J6</f>
        <v>#REF!</v>
      </c>
      <c r="K8" s="41" t="e">
        <f t="shared" si="0"/>
        <v>#REF!</v>
      </c>
      <c r="L8" s="42" t="e">
        <f t="shared" si="0"/>
        <v>#REF!</v>
      </c>
      <c r="M8" s="41" t="e">
        <f t="shared" si="0"/>
        <v>#REF!</v>
      </c>
      <c r="N8" s="42" t="e">
        <f t="shared" si="0"/>
        <v>#REF!</v>
      </c>
      <c r="O8" s="41" t="e">
        <f t="shared" si="0"/>
        <v>#REF!</v>
      </c>
      <c r="P8" s="42" t="e">
        <f t="shared" si="0"/>
        <v>#REF!</v>
      </c>
      <c r="Q8" s="43" t="e">
        <f t="shared" si="0"/>
        <v>#REF!</v>
      </c>
    </row>
    <row r="9" spans="2:29" hidden="1" x14ac:dyDescent="0.45">
      <c r="B9" s="156"/>
      <c r="C9" s="152" t="s">
        <v>101</v>
      </c>
      <c r="D9" s="33" t="s">
        <v>143</v>
      </c>
      <c r="E9" s="30"/>
      <c r="F9" s="30"/>
      <c r="G9" s="31"/>
      <c r="H9" s="64" t="e">
        <f>'ビジネス基礎（Day5)'!A2</f>
        <v>#DIV/0!</v>
      </c>
      <c r="I9" s="64" t="e">
        <f>'ビジネス基礎（Day5)'!B2</f>
        <v>#DIV/0!</v>
      </c>
      <c r="J9" s="64" t="e">
        <f>'ビジネス基礎（Day5)'!C2</f>
        <v>#DIV/0!</v>
      </c>
      <c r="K9" s="64" t="e">
        <f>'ビジネス基礎（Day5)'!D2</f>
        <v>#DIV/0!</v>
      </c>
      <c r="L9" s="64" t="e">
        <f>'ビジネス基礎（Day5)'!E2</f>
        <v>#DIV/0!</v>
      </c>
      <c r="M9" s="64" t="e">
        <f>'ビジネス基礎（Day5)'!F2</f>
        <v>#DIV/0!</v>
      </c>
      <c r="N9" s="64" t="e">
        <f>'ビジネス基礎（Day5)'!G2</f>
        <v>#DIV/0!</v>
      </c>
      <c r="O9" s="64" t="e">
        <f>'ビジネス基礎（Day5)'!H2</f>
        <v>#DIV/0!</v>
      </c>
      <c r="P9" s="64" t="e">
        <f>'ビジネス基礎（Day5)'!I2</f>
        <v>#DIV/0!</v>
      </c>
      <c r="Q9" s="65" t="e">
        <f>'ビジネス基礎（Day5)'!J2</f>
        <v>#DIV/0!</v>
      </c>
    </row>
    <row r="10" spans="2:29" hidden="1" x14ac:dyDescent="0.45">
      <c r="B10" s="156"/>
      <c r="C10" s="153"/>
      <c r="D10" s="26" t="s">
        <v>102</v>
      </c>
      <c r="E10" s="27"/>
      <c r="F10" s="27"/>
      <c r="G10" s="28"/>
      <c r="H10" s="84" t="s">
        <v>145</v>
      </c>
      <c r="I10" s="84" t="s">
        <v>145</v>
      </c>
      <c r="J10" s="84" t="s">
        <v>145</v>
      </c>
      <c r="K10" s="84" t="s">
        <v>145</v>
      </c>
      <c r="L10" s="84" t="s">
        <v>145</v>
      </c>
      <c r="M10" s="84" t="s">
        <v>145</v>
      </c>
      <c r="N10" s="84" t="s">
        <v>145</v>
      </c>
      <c r="O10" s="84" t="s">
        <v>145</v>
      </c>
      <c r="P10" s="84" t="s">
        <v>145</v>
      </c>
      <c r="Q10" s="84" t="s">
        <v>145</v>
      </c>
      <c r="R10" s="19"/>
      <c r="S10" s="19"/>
      <c r="T10" s="19"/>
      <c r="U10" s="19"/>
      <c r="V10" s="19"/>
      <c r="W10" s="19"/>
      <c r="X10" s="19"/>
      <c r="Y10" s="19"/>
      <c r="Z10" s="19"/>
      <c r="AA10" s="19"/>
      <c r="AB10" s="19"/>
      <c r="AC10" s="19"/>
    </row>
    <row r="11" spans="2:29" ht="15.6" hidden="1" thickBot="1" x14ac:dyDescent="0.5">
      <c r="B11" s="156"/>
      <c r="C11" s="154"/>
      <c r="D11" s="34" t="s">
        <v>70</v>
      </c>
      <c r="E11" s="53"/>
      <c r="F11" s="53"/>
      <c r="G11" s="54"/>
      <c r="H11" s="35">
        <v>4.6143497757847536</v>
      </c>
      <c r="I11" s="35">
        <v>4.4887892376681613</v>
      </c>
      <c r="J11" s="35">
        <v>4.5784753363228701</v>
      </c>
      <c r="K11" s="35">
        <v>4.5426008968609866</v>
      </c>
      <c r="L11" s="35">
        <v>4.4887892376681613</v>
      </c>
      <c r="M11" s="35">
        <v>4.4843049327354256</v>
      </c>
      <c r="N11" s="35">
        <v>4.506726457399103</v>
      </c>
      <c r="O11" s="35">
        <v>4.4977578475336326</v>
      </c>
      <c r="P11" s="35">
        <v>4.3991031390134525</v>
      </c>
      <c r="Q11" s="66">
        <v>4.376681614349776</v>
      </c>
      <c r="R11" s="19"/>
      <c r="S11" s="19"/>
      <c r="T11" s="19"/>
      <c r="U11" s="19"/>
      <c r="V11" s="19"/>
      <c r="W11" s="19"/>
      <c r="X11" s="19"/>
      <c r="Y11" s="19"/>
      <c r="Z11" s="19"/>
      <c r="AA11" s="19"/>
      <c r="AB11" s="19"/>
      <c r="AC11" s="19"/>
    </row>
    <row r="12" spans="2:29" ht="15.6" hidden="1" thickBot="1" x14ac:dyDescent="0.5">
      <c r="B12" s="156"/>
      <c r="C12" s="36" t="s">
        <v>91</v>
      </c>
      <c r="D12" s="57"/>
      <c r="E12" s="61" t="s">
        <v>69</v>
      </c>
      <c r="F12" s="61"/>
      <c r="G12" s="62" t="s">
        <v>69</v>
      </c>
      <c r="H12" s="42" t="e">
        <f>H9-H10</f>
        <v>#DIV/0!</v>
      </c>
      <c r="I12" s="41" t="e">
        <f>I9-I10</f>
        <v>#DIV/0!</v>
      </c>
      <c r="J12" s="42" t="e">
        <f t="shared" ref="J12:Q12" si="1">J9-J10</f>
        <v>#DIV/0!</v>
      </c>
      <c r="K12" s="41" t="e">
        <f t="shared" si="1"/>
        <v>#DIV/0!</v>
      </c>
      <c r="L12" s="42" t="e">
        <f t="shared" si="1"/>
        <v>#DIV/0!</v>
      </c>
      <c r="M12" s="41" t="e">
        <f t="shared" si="1"/>
        <v>#DIV/0!</v>
      </c>
      <c r="N12" s="42" t="e">
        <f t="shared" si="1"/>
        <v>#DIV/0!</v>
      </c>
      <c r="O12" s="41" t="e">
        <f t="shared" si="1"/>
        <v>#DIV/0!</v>
      </c>
      <c r="P12" s="42" t="e">
        <f t="shared" si="1"/>
        <v>#DIV/0!</v>
      </c>
      <c r="Q12" s="43" t="e">
        <f t="shared" si="1"/>
        <v>#DIV/0!</v>
      </c>
    </row>
    <row r="13" spans="2:29" x14ac:dyDescent="0.45">
      <c r="B13" s="156"/>
      <c r="C13" s="152" t="s">
        <v>142</v>
      </c>
      <c r="D13" s="33" t="s">
        <v>143</v>
      </c>
      <c r="E13" s="30"/>
      <c r="F13" s="30"/>
      <c r="G13" s="31"/>
      <c r="H13" s="64" t="e">
        <f>#REF!</f>
        <v>#REF!</v>
      </c>
      <c r="I13" s="64" t="e">
        <f>#REF!</f>
        <v>#REF!</v>
      </c>
      <c r="J13" s="64" t="e">
        <f>#REF!</f>
        <v>#REF!</v>
      </c>
      <c r="K13" s="64" t="e">
        <f>#REF!</f>
        <v>#REF!</v>
      </c>
      <c r="L13" s="64" t="e">
        <f>#REF!</f>
        <v>#REF!</v>
      </c>
      <c r="M13" s="64" t="e">
        <f>#REF!</f>
        <v>#REF!</v>
      </c>
      <c r="N13" s="64" t="e">
        <f>#REF!</f>
        <v>#REF!</v>
      </c>
      <c r="O13" s="64" t="e">
        <f>#REF!</f>
        <v>#REF!</v>
      </c>
      <c r="P13" s="64" t="e">
        <f>#REF!</f>
        <v>#REF!</v>
      </c>
      <c r="Q13" s="65" t="e">
        <f>#REF!</f>
        <v>#REF!</v>
      </c>
    </row>
    <row r="14" spans="2:29" x14ac:dyDescent="0.45">
      <c r="B14" s="156"/>
      <c r="C14" s="153"/>
      <c r="D14" s="26" t="s">
        <v>102</v>
      </c>
      <c r="E14" s="27"/>
      <c r="F14" s="27"/>
      <c r="G14" s="28"/>
      <c r="H14" s="73">
        <v>4.3545454545454545</v>
      </c>
      <c r="I14" s="73">
        <v>4.3545454545454545</v>
      </c>
      <c r="J14" s="73">
        <v>4.5999999999999996</v>
      </c>
      <c r="K14" s="73">
        <v>4.336363636363636</v>
      </c>
      <c r="L14" s="73">
        <v>4.2545454545454549</v>
      </c>
      <c r="M14" s="73">
        <v>4.3</v>
      </c>
      <c r="N14" s="73">
        <v>4.2545454545454549</v>
      </c>
      <c r="O14" s="73">
        <v>4.168181818181818</v>
      </c>
      <c r="P14" s="73">
        <v>4.377272727272727</v>
      </c>
      <c r="Q14" s="74">
        <v>4.5</v>
      </c>
      <c r="R14" s="19"/>
      <c r="S14" s="19"/>
      <c r="T14" s="19"/>
      <c r="U14" s="19"/>
      <c r="V14" s="19"/>
      <c r="W14" s="19"/>
      <c r="X14" s="19"/>
      <c r="Y14" s="19"/>
      <c r="Z14" s="19"/>
      <c r="AA14" s="19"/>
      <c r="AB14" s="19"/>
      <c r="AC14" s="19"/>
    </row>
    <row r="15" spans="2:29" ht="15.6" thickBot="1" x14ac:dyDescent="0.5">
      <c r="B15" s="156"/>
      <c r="C15" s="154"/>
      <c r="D15" s="83" t="s">
        <v>70</v>
      </c>
      <c r="E15" s="53"/>
      <c r="F15" s="53"/>
      <c r="G15" s="54"/>
      <c r="H15" s="79">
        <v>4.5084745762711869</v>
      </c>
      <c r="I15" s="79">
        <v>4.5028248587570623</v>
      </c>
      <c r="J15" s="79">
        <v>4.593220338983051</v>
      </c>
      <c r="K15" s="79">
        <v>4.4350282485875709</v>
      </c>
      <c r="L15" s="79">
        <v>4.4011299435028253</v>
      </c>
      <c r="M15" s="79">
        <v>4.406779661016949</v>
      </c>
      <c r="N15" s="79">
        <v>4.406779661016949</v>
      </c>
      <c r="O15" s="79">
        <v>4.3841807909604515</v>
      </c>
      <c r="P15" s="79">
        <v>4.4971751412429377</v>
      </c>
      <c r="Q15" s="82">
        <v>4.2203389830508478</v>
      </c>
      <c r="R15" s="19"/>
      <c r="S15" s="19"/>
      <c r="T15" s="19"/>
      <c r="U15" s="19"/>
      <c r="V15" s="19"/>
      <c r="W15" s="19"/>
      <c r="X15" s="19"/>
      <c r="Y15" s="19"/>
      <c r="Z15" s="19"/>
      <c r="AA15" s="19"/>
      <c r="AB15" s="19"/>
      <c r="AC15" s="19"/>
    </row>
    <row r="16" spans="2:29" ht="15.6" thickBot="1" x14ac:dyDescent="0.5">
      <c r="B16" s="157"/>
      <c r="C16" s="32" t="s">
        <v>91</v>
      </c>
      <c r="D16" s="55"/>
      <c r="E16" s="59" t="s">
        <v>69</v>
      </c>
      <c r="F16" s="59"/>
      <c r="G16" s="60" t="s">
        <v>69</v>
      </c>
      <c r="H16" s="51" t="e">
        <f>H13-H14</f>
        <v>#REF!</v>
      </c>
      <c r="I16" s="50" t="e">
        <f>I13-I14</f>
        <v>#REF!</v>
      </c>
      <c r="J16" s="51" t="e">
        <f t="shared" ref="J16:Q16" si="2">J13-J14</f>
        <v>#REF!</v>
      </c>
      <c r="K16" s="50" t="e">
        <f t="shared" si="2"/>
        <v>#REF!</v>
      </c>
      <c r="L16" s="51" t="e">
        <f t="shared" si="2"/>
        <v>#REF!</v>
      </c>
      <c r="M16" s="50" t="e">
        <f t="shared" si="2"/>
        <v>#REF!</v>
      </c>
      <c r="N16" s="51" t="e">
        <f t="shared" si="2"/>
        <v>#REF!</v>
      </c>
      <c r="O16" s="50" t="e">
        <f t="shared" si="2"/>
        <v>#REF!</v>
      </c>
      <c r="P16" s="51" t="e">
        <f t="shared" si="2"/>
        <v>#REF!</v>
      </c>
      <c r="Q16" s="52" t="e">
        <f t="shared" si="2"/>
        <v>#REF!</v>
      </c>
    </row>
    <row r="17" spans="2:28" ht="15.6" thickBot="1" x14ac:dyDescent="0.5">
      <c r="H17" s="12"/>
      <c r="I17" s="12"/>
      <c r="J17" s="12"/>
      <c r="K17" s="12"/>
      <c r="L17" s="12"/>
      <c r="M17" s="12"/>
      <c r="N17" s="12"/>
      <c r="O17" s="12"/>
      <c r="P17" s="12"/>
      <c r="Q17" s="12"/>
    </row>
    <row r="18" spans="2:28" x14ac:dyDescent="0.45">
      <c r="B18" s="146" t="s">
        <v>53</v>
      </c>
      <c r="C18" s="147"/>
      <c r="D18" s="158" t="s">
        <v>54</v>
      </c>
      <c r="E18" s="166" t="s">
        <v>55</v>
      </c>
      <c r="F18" s="167"/>
      <c r="G18" s="168"/>
      <c r="H18" s="172" t="s">
        <v>56</v>
      </c>
      <c r="I18" s="173"/>
      <c r="J18" s="173"/>
      <c r="K18" s="173"/>
      <c r="L18" s="173"/>
      <c r="M18" s="173"/>
      <c r="N18" s="173"/>
      <c r="O18" s="173"/>
      <c r="P18" s="173"/>
      <c r="Q18" s="174"/>
    </row>
    <row r="19" spans="2:28" x14ac:dyDescent="0.45">
      <c r="B19" s="148"/>
      <c r="C19" s="149"/>
      <c r="D19" s="159"/>
      <c r="E19" s="163" t="s">
        <v>96</v>
      </c>
      <c r="F19" s="164"/>
      <c r="G19" s="165"/>
      <c r="H19" s="67"/>
      <c r="I19" s="68"/>
      <c r="J19" s="68"/>
      <c r="K19" s="68"/>
      <c r="L19" s="68"/>
      <c r="M19" s="68"/>
      <c r="N19" s="68"/>
      <c r="O19" s="68"/>
      <c r="P19" s="68"/>
      <c r="Q19" s="69"/>
    </row>
    <row r="20" spans="2:28" ht="30.6" thickBot="1" x14ac:dyDescent="0.5">
      <c r="B20" s="150"/>
      <c r="C20" s="151"/>
      <c r="D20" s="159"/>
      <c r="E20" s="85" t="s">
        <v>140</v>
      </c>
      <c r="F20" s="90" t="s">
        <v>147</v>
      </c>
      <c r="G20" s="86" t="s">
        <v>57</v>
      </c>
      <c r="H20" s="70" t="s">
        <v>58</v>
      </c>
      <c r="I20" s="71" t="s">
        <v>59</v>
      </c>
      <c r="J20" s="71" t="s">
        <v>60</v>
      </c>
      <c r="K20" s="71" t="s">
        <v>138</v>
      </c>
      <c r="L20" s="71" t="s">
        <v>61</v>
      </c>
      <c r="M20" s="71" t="s">
        <v>62</v>
      </c>
      <c r="N20" s="71" t="s">
        <v>63</v>
      </c>
      <c r="O20" s="71" t="s">
        <v>64</v>
      </c>
      <c r="P20" s="71" t="s">
        <v>65</v>
      </c>
      <c r="Q20" s="72" t="s">
        <v>66</v>
      </c>
    </row>
    <row r="21" spans="2:28" x14ac:dyDescent="0.45">
      <c r="B21" s="155" t="s">
        <v>100</v>
      </c>
      <c r="C21" s="152" t="s">
        <v>99</v>
      </c>
      <c r="D21" s="33" t="s">
        <v>143</v>
      </c>
      <c r="E21" s="64" t="e">
        <f>#REF!</f>
        <v>#REF!</v>
      </c>
      <c r="F21" s="64" t="e">
        <f>#REF!</f>
        <v>#REF!</v>
      </c>
      <c r="G21" s="77" t="e">
        <f>#REF!</f>
        <v>#REF!</v>
      </c>
      <c r="H21" s="64" t="e">
        <f>#REF!</f>
        <v>#REF!</v>
      </c>
      <c r="I21" s="64" t="e">
        <f>#REF!</f>
        <v>#REF!</v>
      </c>
      <c r="J21" s="64" t="e">
        <f>#REF!</f>
        <v>#REF!</v>
      </c>
      <c r="K21" s="64" t="e">
        <f>#REF!</f>
        <v>#REF!</v>
      </c>
      <c r="L21" s="64" t="e">
        <f>#REF!</f>
        <v>#REF!</v>
      </c>
      <c r="M21" s="64" t="e">
        <f>#REF!</f>
        <v>#REF!</v>
      </c>
      <c r="N21" s="64" t="e">
        <f>#REF!</f>
        <v>#REF!</v>
      </c>
      <c r="O21" s="64" t="e">
        <f>#REF!</f>
        <v>#REF!</v>
      </c>
      <c r="P21" s="64" t="e">
        <f>#REF!</f>
        <v>#REF!</v>
      </c>
      <c r="Q21" s="65" t="e">
        <f>#REF!</f>
        <v>#REF!</v>
      </c>
    </row>
    <row r="22" spans="2:28" x14ac:dyDescent="0.45">
      <c r="B22" s="156"/>
      <c r="C22" s="153"/>
      <c r="D22" s="26" t="s">
        <v>102</v>
      </c>
      <c r="E22" s="78">
        <v>93.333333333333329</v>
      </c>
      <c r="F22" s="78"/>
      <c r="G22" s="29">
        <v>0.956989247311828</v>
      </c>
      <c r="H22" s="78">
        <v>4.4731182795698921</v>
      </c>
      <c r="I22" s="78">
        <v>4.4802867383512543</v>
      </c>
      <c r="J22" s="78">
        <v>4.5232974910394264</v>
      </c>
      <c r="K22" s="78">
        <v>4.4910394265232974</v>
      </c>
      <c r="L22" s="78">
        <v>4.3261648745519716</v>
      </c>
      <c r="M22" s="78">
        <v>4.2186379928315416</v>
      </c>
      <c r="N22" s="78">
        <v>4.408602150537634</v>
      </c>
      <c r="O22" s="78">
        <v>4.5125448028673834</v>
      </c>
      <c r="P22" s="78">
        <v>4.3189964157706093</v>
      </c>
      <c r="Q22" s="81">
        <v>4.3620071684587813</v>
      </c>
      <c r="R22" s="19"/>
      <c r="S22" s="19"/>
      <c r="T22" s="19"/>
      <c r="U22" s="19"/>
      <c r="V22" s="19"/>
      <c r="W22" s="19"/>
      <c r="X22" s="19"/>
      <c r="Y22" s="19"/>
      <c r="Z22" s="19"/>
      <c r="AA22" s="19"/>
      <c r="AB22" s="19"/>
    </row>
    <row r="23" spans="2:28" ht="15.6" thickBot="1" x14ac:dyDescent="0.5">
      <c r="B23" s="156"/>
      <c r="C23" s="154"/>
      <c r="D23" s="83" t="s">
        <v>70</v>
      </c>
      <c r="E23" s="79">
        <v>93.706896551724142</v>
      </c>
      <c r="F23" s="79"/>
      <c r="G23" s="80">
        <v>0.9568965517241379</v>
      </c>
      <c r="H23" s="79">
        <v>4.4502164502164501</v>
      </c>
      <c r="I23" s="79">
        <v>4.3506493506493502</v>
      </c>
      <c r="J23" s="79">
        <v>4.3852813852813854</v>
      </c>
      <c r="K23" s="79">
        <v>4.1515151515151514</v>
      </c>
      <c r="L23" s="79">
        <v>4.2164502164502169</v>
      </c>
      <c r="M23" s="75">
        <v>4.1948051948051948</v>
      </c>
      <c r="N23" s="79">
        <v>4.2987012987012987</v>
      </c>
      <c r="O23" s="79">
        <v>4.3549783549783552</v>
      </c>
      <c r="P23" s="75">
        <v>4.2640692640692643</v>
      </c>
      <c r="Q23" s="82">
        <v>4.2554112554112553</v>
      </c>
      <c r="R23" s="19"/>
      <c r="S23" s="19"/>
      <c r="T23" s="19"/>
      <c r="U23" s="19"/>
      <c r="V23" s="19"/>
      <c r="W23" s="19"/>
      <c r="X23" s="19"/>
      <c r="Y23" s="19"/>
      <c r="Z23" s="19"/>
      <c r="AA23" s="19"/>
      <c r="AB23" s="19"/>
    </row>
    <row r="24" spans="2:28" ht="15.6" thickBot="1" x14ac:dyDescent="0.5">
      <c r="B24" s="156"/>
      <c r="C24" s="36" t="s">
        <v>91</v>
      </c>
      <c r="D24" s="57"/>
      <c r="E24" s="42" t="e">
        <f>E21-E22</f>
        <v>#REF!</v>
      </c>
      <c r="F24" s="42"/>
      <c r="G24" s="58" t="e">
        <f>G21-G22</f>
        <v>#REF!</v>
      </c>
      <c r="H24" s="42" t="e">
        <f>H21-H22</f>
        <v>#REF!</v>
      </c>
      <c r="I24" s="41" t="e">
        <f>I21-I22</f>
        <v>#REF!</v>
      </c>
      <c r="J24" s="42" t="e">
        <f t="shared" ref="J24:Q24" si="3">J21-J22</f>
        <v>#REF!</v>
      </c>
      <c r="K24" s="41" t="e">
        <f t="shared" si="3"/>
        <v>#REF!</v>
      </c>
      <c r="L24" s="42" t="e">
        <f t="shared" si="3"/>
        <v>#REF!</v>
      </c>
      <c r="M24" s="41" t="e">
        <f t="shared" si="3"/>
        <v>#REF!</v>
      </c>
      <c r="N24" s="42" t="e">
        <f t="shared" si="3"/>
        <v>#REF!</v>
      </c>
      <c r="O24" s="41" t="e">
        <f t="shared" si="3"/>
        <v>#REF!</v>
      </c>
      <c r="P24" s="42" t="e">
        <f t="shared" si="3"/>
        <v>#REF!</v>
      </c>
      <c r="Q24" s="43" t="e">
        <f t="shared" si="3"/>
        <v>#REF!</v>
      </c>
    </row>
    <row r="25" spans="2:28" x14ac:dyDescent="0.45">
      <c r="B25" s="156"/>
      <c r="C25" s="152" t="s">
        <v>98</v>
      </c>
      <c r="D25" s="33" t="s">
        <v>143</v>
      </c>
      <c r="E25" s="64" t="e">
        <f>#REF!</f>
        <v>#REF!</v>
      </c>
      <c r="F25" s="64" t="e">
        <f>#REF!</f>
        <v>#REF!</v>
      </c>
      <c r="G25" s="77" t="e">
        <f>#REF!</f>
        <v>#REF!</v>
      </c>
      <c r="H25" s="64" t="e">
        <f>#REF!</f>
        <v>#REF!</v>
      </c>
      <c r="I25" s="64" t="e">
        <f>#REF!</f>
        <v>#REF!</v>
      </c>
      <c r="J25" s="64" t="e">
        <f>#REF!</f>
        <v>#REF!</v>
      </c>
      <c r="K25" s="64" t="e">
        <f>#REF!</f>
        <v>#REF!</v>
      </c>
      <c r="L25" s="64" t="e">
        <f>#REF!</f>
        <v>#REF!</v>
      </c>
      <c r="M25" s="64" t="e">
        <f>#REF!</f>
        <v>#REF!</v>
      </c>
      <c r="N25" s="64" t="e">
        <f>#REF!</f>
        <v>#REF!</v>
      </c>
      <c r="O25" s="64" t="e">
        <f>#REF!</f>
        <v>#REF!</v>
      </c>
      <c r="P25" s="64" t="e">
        <f>#REF!</f>
        <v>#REF!</v>
      </c>
      <c r="Q25" s="65" t="e">
        <f>#REF!</f>
        <v>#REF!</v>
      </c>
    </row>
    <row r="26" spans="2:28" x14ac:dyDescent="0.45">
      <c r="B26" s="156"/>
      <c r="C26" s="153"/>
      <c r="D26" s="26" t="s">
        <v>102</v>
      </c>
      <c r="E26" s="78">
        <v>90.340501792114694</v>
      </c>
      <c r="F26" s="78"/>
      <c r="G26" s="29">
        <v>0.94265232974910396</v>
      </c>
      <c r="H26" s="78">
        <v>4.6582733812949639</v>
      </c>
      <c r="I26" s="78">
        <v>4.5323741007194247</v>
      </c>
      <c r="J26" s="78">
        <v>4.3633093525179856</v>
      </c>
      <c r="K26" s="78">
        <v>4.4100719424460433</v>
      </c>
      <c r="L26" s="78">
        <v>4.4460431654676258</v>
      </c>
      <c r="M26" s="78">
        <v>4.4604316546762588</v>
      </c>
      <c r="N26" s="78">
        <v>4.4640287769784175</v>
      </c>
      <c r="O26" s="78">
        <v>4.5359712230215825</v>
      </c>
      <c r="P26" s="78">
        <v>4.1582733812949639</v>
      </c>
      <c r="Q26" s="81">
        <v>4.5611510791366907</v>
      </c>
      <c r="R26" s="19"/>
      <c r="S26" s="19"/>
      <c r="T26" s="19"/>
      <c r="U26" s="19"/>
      <c r="V26" s="19"/>
      <c r="W26" s="19"/>
      <c r="X26" s="19"/>
      <c r="Y26" s="19"/>
      <c r="Z26" s="19"/>
      <c r="AA26" s="19"/>
      <c r="AB26" s="19"/>
    </row>
    <row r="27" spans="2:28" ht="15.6" thickBot="1" x14ac:dyDescent="0.5">
      <c r="B27" s="156"/>
      <c r="C27" s="154"/>
      <c r="D27" s="83" t="s">
        <v>70</v>
      </c>
      <c r="E27" s="79">
        <v>88.879310344827587</v>
      </c>
      <c r="F27" s="79"/>
      <c r="G27" s="80">
        <v>0.88793103448275867</v>
      </c>
      <c r="H27" s="79">
        <v>4.6379310344827589</v>
      </c>
      <c r="I27" s="79">
        <v>4.4525862068965516</v>
      </c>
      <c r="J27" s="79">
        <v>4.193965517241379</v>
      </c>
      <c r="K27" s="79">
        <v>4.2370689655172411</v>
      </c>
      <c r="L27" s="79">
        <v>4.3922413793103452</v>
      </c>
      <c r="M27" s="79">
        <v>4.3922413793103452</v>
      </c>
      <c r="N27" s="79">
        <v>4.4051724137931032</v>
      </c>
      <c r="O27" s="79">
        <v>4.5129310344827589</v>
      </c>
      <c r="P27" s="79">
        <v>4.0603448275862073</v>
      </c>
      <c r="Q27" s="82">
        <v>4.4741379310344831</v>
      </c>
      <c r="R27" s="19"/>
      <c r="S27" s="19"/>
      <c r="T27" s="19"/>
      <c r="U27" s="19"/>
      <c r="V27" s="19"/>
      <c r="W27" s="19"/>
      <c r="X27" s="19"/>
      <c r="Y27" s="19"/>
      <c r="Z27" s="19"/>
      <c r="AA27" s="19"/>
      <c r="AB27" s="19"/>
    </row>
    <row r="28" spans="2:28" ht="15.6" thickBot="1" x14ac:dyDescent="0.5">
      <c r="B28" s="156"/>
      <c r="C28" s="36" t="s">
        <v>91</v>
      </c>
      <c r="D28" s="57"/>
      <c r="E28" s="42" t="e">
        <f>E25-E26</f>
        <v>#REF!</v>
      </c>
      <c r="F28" s="42"/>
      <c r="G28" s="58" t="e">
        <f>G25-G26</f>
        <v>#REF!</v>
      </c>
      <c r="H28" s="42" t="e">
        <f>H25-H26</f>
        <v>#REF!</v>
      </c>
      <c r="I28" s="41" t="e">
        <f>I25-I26</f>
        <v>#REF!</v>
      </c>
      <c r="J28" s="42" t="e">
        <f t="shared" ref="J28:Q28" si="4">J25-J26</f>
        <v>#REF!</v>
      </c>
      <c r="K28" s="41" t="e">
        <f t="shared" si="4"/>
        <v>#REF!</v>
      </c>
      <c r="L28" s="42" t="e">
        <f t="shared" si="4"/>
        <v>#REF!</v>
      </c>
      <c r="M28" s="41" t="e">
        <f t="shared" si="4"/>
        <v>#REF!</v>
      </c>
      <c r="N28" s="42" t="e">
        <f t="shared" si="4"/>
        <v>#REF!</v>
      </c>
      <c r="O28" s="41" t="e">
        <f t="shared" si="4"/>
        <v>#REF!</v>
      </c>
      <c r="P28" s="42" t="e">
        <f t="shared" si="4"/>
        <v>#REF!</v>
      </c>
      <c r="Q28" s="43" t="e">
        <f t="shared" si="4"/>
        <v>#REF!</v>
      </c>
    </row>
    <row r="29" spans="2:28" x14ac:dyDescent="0.45">
      <c r="B29" s="156"/>
      <c r="C29" s="152" t="s">
        <v>97</v>
      </c>
      <c r="D29" s="33" t="s">
        <v>143</v>
      </c>
      <c r="E29" s="64" t="e">
        <f>#REF!</f>
        <v>#REF!</v>
      </c>
      <c r="F29" s="64" t="e">
        <f>#REF!</f>
        <v>#REF!</v>
      </c>
      <c r="G29" s="77" t="e">
        <f>#REF!</f>
        <v>#REF!</v>
      </c>
      <c r="H29" s="64" t="e">
        <f>#REF!</f>
        <v>#REF!</v>
      </c>
      <c r="I29" s="64" t="e">
        <f>#REF!</f>
        <v>#REF!</v>
      </c>
      <c r="J29" s="64" t="e">
        <f>#REF!</f>
        <v>#REF!</v>
      </c>
      <c r="K29" s="64" t="e">
        <f>#REF!</f>
        <v>#REF!</v>
      </c>
      <c r="L29" s="64" t="e">
        <f>#REF!</f>
        <v>#REF!</v>
      </c>
      <c r="M29" s="64" t="e">
        <f>#REF!</f>
        <v>#REF!</v>
      </c>
      <c r="N29" s="64" t="e">
        <f>#REF!</f>
        <v>#REF!</v>
      </c>
      <c r="O29" s="64" t="e">
        <f>#REF!</f>
        <v>#REF!</v>
      </c>
      <c r="P29" s="64" t="e">
        <f>#REF!</f>
        <v>#REF!</v>
      </c>
      <c r="Q29" s="65" t="e">
        <f>#REF!</f>
        <v>#REF!</v>
      </c>
    </row>
    <row r="30" spans="2:28" x14ac:dyDescent="0.45">
      <c r="B30" s="156"/>
      <c r="C30" s="153"/>
      <c r="D30" s="26" t="s">
        <v>102</v>
      </c>
      <c r="E30" s="78">
        <v>94.086021505376351</v>
      </c>
      <c r="F30" s="78"/>
      <c r="G30" s="29">
        <v>0.96415770609318996</v>
      </c>
      <c r="H30" s="73">
        <v>4.6449275362318838</v>
      </c>
      <c r="I30" s="73">
        <v>4.5869565217391308</v>
      </c>
      <c r="J30" s="73">
        <v>4.5072463768115938</v>
      </c>
      <c r="K30" s="73">
        <v>4.4057971014492754</v>
      </c>
      <c r="L30" s="73">
        <v>4.5362318840579707</v>
      </c>
      <c r="M30" s="73">
        <v>4.5289855072463769</v>
      </c>
      <c r="N30" s="73">
        <v>4.5144927536231885</v>
      </c>
      <c r="O30" s="73">
        <v>4.5760869565217392</v>
      </c>
      <c r="P30" s="73">
        <v>4.1449275362318838</v>
      </c>
      <c r="Q30" s="74">
        <v>4.4818840579710146</v>
      </c>
      <c r="R30" s="19"/>
      <c r="S30" s="19"/>
      <c r="T30" s="19"/>
      <c r="U30" s="19"/>
      <c r="V30" s="19"/>
      <c r="W30" s="19"/>
      <c r="X30" s="19"/>
      <c r="Y30" s="19"/>
      <c r="Z30" s="19"/>
      <c r="AA30" s="19"/>
      <c r="AB30" s="19"/>
    </row>
    <row r="31" spans="2:28" ht="15.6" thickBot="1" x14ac:dyDescent="0.5">
      <c r="B31" s="156"/>
      <c r="C31" s="154"/>
      <c r="D31" s="83" t="s">
        <v>70</v>
      </c>
      <c r="E31" s="79">
        <v>94.137931034482762</v>
      </c>
      <c r="F31" s="79"/>
      <c r="G31" s="80">
        <v>0.96551724137931039</v>
      </c>
      <c r="H31" s="79">
        <v>4.5818965517241379</v>
      </c>
      <c r="I31" s="79">
        <v>4.5215517241379306</v>
      </c>
      <c r="J31" s="79">
        <v>4.3577586206896548</v>
      </c>
      <c r="K31" s="79">
        <v>4.2629310344827589</v>
      </c>
      <c r="L31" s="79">
        <v>4.4525862068965516</v>
      </c>
      <c r="M31" s="79">
        <v>4.4655172413793105</v>
      </c>
      <c r="N31" s="79">
        <v>4.4051724137931032</v>
      </c>
      <c r="O31" s="79">
        <v>4.5991379310344831</v>
      </c>
      <c r="P31" s="79">
        <v>3.9525862068965516</v>
      </c>
      <c r="Q31" s="82">
        <v>4.4612068965517242</v>
      </c>
      <c r="R31" s="19"/>
      <c r="S31" s="19"/>
      <c r="T31" s="19"/>
      <c r="U31" s="19"/>
      <c r="V31" s="19"/>
      <c r="W31" s="19"/>
      <c r="X31" s="19"/>
      <c r="Y31" s="19"/>
      <c r="Z31" s="19"/>
      <c r="AA31" s="19"/>
      <c r="AB31" s="19"/>
    </row>
    <row r="32" spans="2:28" ht="15.6" thickBot="1" x14ac:dyDescent="0.5">
      <c r="B32" s="157"/>
      <c r="C32" s="32" t="s">
        <v>91</v>
      </c>
      <c r="D32" s="55"/>
      <c r="E32" s="51" t="e">
        <f>E29-E30</f>
        <v>#REF!</v>
      </c>
      <c r="F32" s="51"/>
      <c r="G32" s="56" t="e">
        <f>G29-G30</f>
        <v>#REF!</v>
      </c>
      <c r="H32" s="51" t="e">
        <f>H29-H30</f>
        <v>#REF!</v>
      </c>
      <c r="I32" s="50" t="e">
        <f>I29-I30</f>
        <v>#REF!</v>
      </c>
      <c r="J32" s="51" t="e">
        <f t="shared" ref="J32:Q32" si="5">J29-J30</f>
        <v>#REF!</v>
      </c>
      <c r="K32" s="50" t="e">
        <f t="shared" si="5"/>
        <v>#REF!</v>
      </c>
      <c r="L32" s="51" t="e">
        <f t="shared" si="5"/>
        <v>#REF!</v>
      </c>
      <c r="M32" s="50" t="e">
        <f t="shared" si="5"/>
        <v>#REF!</v>
      </c>
      <c r="N32" s="51" t="e">
        <f t="shared" si="5"/>
        <v>#REF!</v>
      </c>
      <c r="O32" s="50" t="e">
        <f t="shared" si="5"/>
        <v>#REF!</v>
      </c>
      <c r="P32" s="51" t="e">
        <f t="shared" si="5"/>
        <v>#REF!</v>
      </c>
      <c r="Q32" s="52" t="e">
        <f t="shared" si="5"/>
        <v>#REF!</v>
      </c>
    </row>
    <row r="33" spans="2:28" ht="15.6" thickBot="1" x14ac:dyDescent="0.5">
      <c r="H33" s="12"/>
      <c r="I33" s="12"/>
      <c r="J33" s="12"/>
      <c r="K33" s="12"/>
      <c r="L33" s="12"/>
      <c r="M33" s="12"/>
      <c r="N33" s="12"/>
      <c r="O33" s="12"/>
      <c r="P33" s="12"/>
      <c r="Q33" s="12"/>
    </row>
    <row r="34" spans="2:28" x14ac:dyDescent="0.45">
      <c r="B34" s="146" t="s">
        <v>53</v>
      </c>
      <c r="C34" s="147"/>
      <c r="D34" s="158" t="s">
        <v>54</v>
      </c>
      <c r="E34" s="166" t="s">
        <v>55</v>
      </c>
      <c r="F34" s="167"/>
      <c r="G34" s="168"/>
      <c r="H34" s="172" t="s">
        <v>56</v>
      </c>
      <c r="I34" s="173"/>
      <c r="J34" s="173"/>
      <c r="K34" s="173"/>
      <c r="L34" s="173"/>
      <c r="M34" s="173"/>
      <c r="N34" s="173"/>
      <c r="O34" s="173"/>
      <c r="P34" s="173"/>
      <c r="Q34" s="174"/>
    </row>
    <row r="35" spans="2:28" x14ac:dyDescent="0.45">
      <c r="B35" s="148"/>
      <c r="C35" s="149"/>
      <c r="D35" s="159"/>
      <c r="E35" s="163" t="s">
        <v>96</v>
      </c>
      <c r="F35" s="164"/>
      <c r="G35" s="165"/>
      <c r="H35" s="67"/>
      <c r="I35" s="68"/>
      <c r="J35" s="68"/>
      <c r="K35" s="68"/>
      <c r="L35" s="68"/>
      <c r="M35" s="68"/>
      <c r="N35" s="68"/>
      <c r="O35" s="68"/>
      <c r="P35" s="68"/>
      <c r="Q35" s="69"/>
    </row>
    <row r="36" spans="2:28" ht="30.6" thickBot="1" x14ac:dyDescent="0.5">
      <c r="B36" s="150"/>
      <c r="C36" s="151"/>
      <c r="D36" s="159"/>
      <c r="E36" s="85" t="s">
        <v>140</v>
      </c>
      <c r="F36" s="90" t="s">
        <v>147</v>
      </c>
      <c r="G36" s="86" t="s">
        <v>57</v>
      </c>
      <c r="H36" s="70" t="s">
        <v>58</v>
      </c>
      <c r="I36" s="71" t="s">
        <v>59</v>
      </c>
      <c r="J36" s="71" t="s">
        <v>60</v>
      </c>
      <c r="K36" s="71" t="s">
        <v>138</v>
      </c>
      <c r="L36" s="71" t="s">
        <v>61</v>
      </c>
      <c r="M36" s="71" t="s">
        <v>62</v>
      </c>
      <c r="N36" s="71" t="s">
        <v>63</v>
      </c>
      <c r="O36" s="71" t="s">
        <v>64</v>
      </c>
      <c r="P36" s="71" t="s">
        <v>65</v>
      </c>
      <c r="Q36" s="72" t="s">
        <v>66</v>
      </c>
    </row>
    <row r="37" spans="2:28" x14ac:dyDescent="0.45">
      <c r="B37" s="155" t="s">
        <v>95</v>
      </c>
      <c r="C37" s="152" t="s">
        <v>94</v>
      </c>
      <c r="D37" s="33" t="s">
        <v>143</v>
      </c>
      <c r="E37" s="64" t="e">
        <f>#REF!</f>
        <v>#REF!</v>
      </c>
      <c r="F37" s="64" t="e">
        <f>#REF!</f>
        <v>#REF!</v>
      </c>
      <c r="G37" s="77" t="e">
        <f>#REF!</f>
        <v>#REF!</v>
      </c>
      <c r="H37" s="64" t="e">
        <f>#REF!</f>
        <v>#REF!</v>
      </c>
      <c r="I37" s="64" t="e">
        <f>#REF!</f>
        <v>#REF!</v>
      </c>
      <c r="J37" s="64" t="e">
        <f>#REF!</f>
        <v>#REF!</v>
      </c>
      <c r="K37" s="64" t="e">
        <f>#REF!</f>
        <v>#REF!</v>
      </c>
      <c r="L37" s="64" t="e">
        <f>#REF!</f>
        <v>#REF!</v>
      </c>
      <c r="M37" s="64" t="e">
        <f>#REF!</f>
        <v>#REF!</v>
      </c>
      <c r="N37" s="64" t="e">
        <f>#REF!</f>
        <v>#REF!</v>
      </c>
      <c r="O37" s="64" t="e">
        <f>#REF!</f>
        <v>#REF!</v>
      </c>
      <c r="P37" s="64" t="e">
        <f>#REF!</f>
        <v>#REF!</v>
      </c>
      <c r="Q37" s="65" t="e">
        <f>#REF!</f>
        <v>#REF!</v>
      </c>
    </row>
    <row r="38" spans="2:28" x14ac:dyDescent="0.45">
      <c r="B38" s="156"/>
      <c r="C38" s="153"/>
      <c r="D38" s="26" t="s">
        <v>102</v>
      </c>
      <c r="E38" s="78">
        <v>90.663082437275989</v>
      </c>
      <c r="F38" s="78"/>
      <c r="G38" s="29">
        <v>0.956989247311828</v>
      </c>
      <c r="H38" s="78">
        <v>4.6223021582733814</v>
      </c>
      <c r="I38" s="78">
        <v>4.5215827338129495</v>
      </c>
      <c r="J38" s="78">
        <v>4.3561151079136691</v>
      </c>
      <c r="K38" s="78">
        <v>4.3812949640287773</v>
      </c>
      <c r="L38" s="78">
        <v>4.4460431654676258</v>
      </c>
      <c r="M38" s="78">
        <v>4.4316546762589928</v>
      </c>
      <c r="N38" s="78">
        <v>4.4964028776978413</v>
      </c>
      <c r="O38" s="78">
        <v>4.5935251798561154</v>
      </c>
      <c r="P38" s="78">
        <v>4.3057553956834536</v>
      </c>
      <c r="Q38" s="81">
        <v>4.557553956834532</v>
      </c>
      <c r="R38" s="19"/>
      <c r="S38" s="19"/>
      <c r="T38" s="19"/>
      <c r="U38" s="19"/>
      <c r="V38" s="19"/>
      <c r="W38" s="19"/>
      <c r="X38" s="19"/>
      <c r="Y38" s="19"/>
      <c r="Z38" s="19"/>
      <c r="AA38" s="19"/>
      <c r="AB38" s="19"/>
    </row>
    <row r="39" spans="2:28" ht="15.6" thickBot="1" x14ac:dyDescent="0.5">
      <c r="B39" s="156"/>
      <c r="C39" s="154"/>
      <c r="D39" s="83" t="s">
        <v>70</v>
      </c>
      <c r="E39" s="79">
        <v>90.193965517241381</v>
      </c>
      <c r="F39" s="79"/>
      <c r="G39" s="80">
        <v>0.93103448275862066</v>
      </c>
      <c r="H39" s="79">
        <v>4.5258620689655169</v>
      </c>
      <c r="I39" s="79">
        <v>4.3405172413793105</v>
      </c>
      <c r="J39" s="79">
        <v>4.1163793103448274</v>
      </c>
      <c r="K39" s="79">
        <v>4.2241379310344831</v>
      </c>
      <c r="L39" s="79">
        <v>4.3534482758620694</v>
      </c>
      <c r="M39" s="79">
        <v>4.3491379310344831</v>
      </c>
      <c r="N39" s="79">
        <v>4.3879310344827589</v>
      </c>
      <c r="O39" s="79">
        <v>4.5043103448275863</v>
      </c>
      <c r="P39" s="79">
        <v>3.9870689655172415</v>
      </c>
      <c r="Q39" s="82">
        <v>4.431034482758621</v>
      </c>
      <c r="R39" s="19"/>
      <c r="S39" s="19"/>
      <c r="T39" s="19"/>
      <c r="U39" s="19"/>
      <c r="V39" s="19"/>
      <c r="W39" s="19"/>
      <c r="X39" s="19"/>
      <c r="Y39" s="19"/>
      <c r="Z39" s="19"/>
      <c r="AA39" s="19"/>
      <c r="AB39" s="19"/>
    </row>
    <row r="40" spans="2:28" ht="15.6" thickBot="1" x14ac:dyDescent="0.5">
      <c r="B40" s="156"/>
      <c r="C40" s="36" t="s">
        <v>91</v>
      </c>
      <c r="D40" s="37"/>
      <c r="E40" s="39" t="e">
        <f>E37-E38</f>
        <v>#REF!</v>
      </c>
      <c r="F40" s="91"/>
      <c r="G40" s="40" t="e">
        <f>G37-G38</f>
        <v>#REF!</v>
      </c>
      <c r="H40" s="38" t="e">
        <f>H37-H38</f>
        <v>#REF!</v>
      </c>
      <c r="I40" s="41" t="e">
        <f>I37-I38</f>
        <v>#REF!</v>
      </c>
      <c r="J40" s="42" t="e">
        <f t="shared" ref="J40:Q40" si="6">J37-J38</f>
        <v>#REF!</v>
      </c>
      <c r="K40" s="41" t="e">
        <f t="shared" si="6"/>
        <v>#REF!</v>
      </c>
      <c r="L40" s="42" t="e">
        <f t="shared" si="6"/>
        <v>#REF!</v>
      </c>
      <c r="M40" s="41" t="e">
        <f t="shared" si="6"/>
        <v>#REF!</v>
      </c>
      <c r="N40" s="42" t="e">
        <f t="shared" si="6"/>
        <v>#REF!</v>
      </c>
      <c r="O40" s="41" t="e">
        <f t="shared" si="6"/>
        <v>#REF!</v>
      </c>
      <c r="P40" s="42" t="e">
        <f t="shared" si="6"/>
        <v>#REF!</v>
      </c>
      <c r="Q40" s="43" t="e">
        <f t="shared" si="6"/>
        <v>#REF!</v>
      </c>
    </row>
    <row r="41" spans="2:28" x14ac:dyDescent="0.45">
      <c r="B41" s="156"/>
      <c r="C41" s="152" t="s">
        <v>79</v>
      </c>
      <c r="D41" s="33" t="s">
        <v>143</v>
      </c>
      <c r="E41" s="64" t="e">
        <f>#REF!</f>
        <v>#REF!</v>
      </c>
      <c r="F41" s="64" t="e">
        <f>#REF!</f>
        <v>#REF!</v>
      </c>
      <c r="G41" s="77" t="e">
        <f>#REF!</f>
        <v>#REF!</v>
      </c>
      <c r="H41" s="64" t="e">
        <f>#REF!</f>
        <v>#REF!</v>
      </c>
      <c r="I41" s="64" t="e">
        <f>#REF!</f>
        <v>#REF!</v>
      </c>
      <c r="J41" s="64" t="e">
        <f>#REF!</f>
        <v>#REF!</v>
      </c>
      <c r="K41" s="64" t="e">
        <f>#REF!</f>
        <v>#REF!</v>
      </c>
      <c r="L41" s="64" t="e">
        <f>#REF!</f>
        <v>#REF!</v>
      </c>
      <c r="M41" s="64" t="e">
        <f>#REF!</f>
        <v>#REF!</v>
      </c>
      <c r="N41" s="64" t="e">
        <f>#REF!</f>
        <v>#REF!</v>
      </c>
      <c r="O41" s="64" t="e">
        <f>#REF!</f>
        <v>#REF!</v>
      </c>
      <c r="P41" s="64" t="e">
        <f>#REF!</f>
        <v>#REF!</v>
      </c>
      <c r="Q41" s="65" t="e">
        <f>#REF!</f>
        <v>#REF!</v>
      </c>
    </row>
    <row r="42" spans="2:28" x14ac:dyDescent="0.45">
      <c r="B42" s="156"/>
      <c r="C42" s="153"/>
      <c r="D42" s="26" t="s">
        <v>102</v>
      </c>
      <c r="E42" s="78">
        <v>87.354838709677423</v>
      </c>
      <c r="F42" s="78"/>
      <c r="G42" s="29">
        <v>0.79211469534050183</v>
      </c>
      <c r="H42" s="78">
        <v>4.6415770609318994</v>
      </c>
      <c r="I42" s="78">
        <v>4.3691756272401436</v>
      </c>
      <c r="J42" s="78">
        <v>4.0716845878136203</v>
      </c>
      <c r="K42" s="78">
        <v>4.2222222222222223</v>
      </c>
      <c r="L42" s="78">
        <v>4.3476702508960576</v>
      </c>
      <c r="M42" s="78">
        <v>4.333333333333333</v>
      </c>
      <c r="N42" s="78">
        <v>4.3727598566308243</v>
      </c>
      <c r="O42" s="78">
        <v>4.4444444444444446</v>
      </c>
      <c r="P42" s="78">
        <v>3.9928315412186381</v>
      </c>
      <c r="Q42" s="81">
        <v>4.4551971326164876</v>
      </c>
      <c r="R42" s="19"/>
      <c r="S42" s="19"/>
      <c r="T42" s="19"/>
      <c r="U42" s="19"/>
      <c r="V42" s="19"/>
      <c r="W42" s="19"/>
      <c r="X42" s="19"/>
      <c r="Y42" s="19"/>
      <c r="Z42" s="19"/>
      <c r="AA42" s="19"/>
      <c r="AB42" s="19"/>
    </row>
    <row r="43" spans="2:28" ht="15.6" thickBot="1" x14ac:dyDescent="0.5">
      <c r="B43" s="156"/>
      <c r="C43" s="154"/>
      <c r="D43" s="83" t="s">
        <v>70</v>
      </c>
      <c r="E43" s="79">
        <v>87.482758620689651</v>
      </c>
      <c r="F43" s="79"/>
      <c r="G43" s="80">
        <v>0.79741379310344829</v>
      </c>
      <c r="H43" s="75">
        <v>4.5301724137931032</v>
      </c>
      <c r="I43" s="75">
        <v>4.2456896551724137</v>
      </c>
      <c r="J43" s="75">
        <v>3.8275862068965516</v>
      </c>
      <c r="K43" s="75">
        <v>4.0129310344827589</v>
      </c>
      <c r="L43" s="75">
        <v>4.2198275862068968</v>
      </c>
      <c r="M43" s="75">
        <v>4.2456896551724137</v>
      </c>
      <c r="N43" s="75">
        <v>4.2801724137931032</v>
      </c>
      <c r="O43" s="75">
        <v>4.431034482758621</v>
      </c>
      <c r="P43" s="75">
        <v>3.6939655172413794</v>
      </c>
      <c r="Q43" s="76">
        <v>4.4525862068965516</v>
      </c>
      <c r="R43" s="19"/>
      <c r="S43" s="19"/>
      <c r="T43" s="19"/>
      <c r="U43" s="19"/>
      <c r="V43" s="19"/>
      <c r="W43" s="19"/>
      <c r="X43" s="19"/>
      <c r="Y43" s="19"/>
      <c r="Z43" s="19"/>
      <c r="AA43" s="19"/>
      <c r="AB43" s="19"/>
    </row>
    <row r="44" spans="2:28" ht="15.6" thickBot="1" x14ac:dyDescent="0.5">
      <c r="B44" s="156"/>
      <c r="C44" s="36" t="s">
        <v>91</v>
      </c>
      <c r="D44" s="37"/>
      <c r="E44" s="39" t="e">
        <f>E41-E42</f>
        <v>#REF!</v>
      </c>
      <c r="F44" s="91"/>
      <c r="G44" s="40" t="e">
        <f>G41-G42</f>
        <v>#REF!</v>
      </c>
      <c r="H44" s="38" t="e">
        <f>H41-H42</f>
        <v>#REF!</v>
      </c>
      <c r="I44" s="41" t="e">
        <f>I41-I42</f>
        <v>#REF!</v>
      </c>
      <c r="J44" s="42" t="e">
        <f t="shared" ref="J44:Q44" si="7">J41-J42</f>
        <v>#REF!</v>
      </c>
      <c r="K44" s="41" t="e">
        <f t="shared" si="7"/>
        <v>#REF!</v>
      </c>
      <c r="L44" s="42" t="e">
        <f t="shared" si="7"/>
        <v>#REF!</v>
      </c>
      <c r="M44" s="41" t="e">
        <f t="shared" si="7"/>
        <v>#REF!</v>
      </c>
      <c r="N44" s="42" t="e">
        <f t="shared" si="7"/>
        <v>#REF!</v>
      </c>
      <c r="O44" s="41" t="e">
        <f t="shared" si="7"/>
        <v>#REF!</v>
      </c>
      <c r="P44" s="42" t="e">
        <f t="shared" si="7"/>
        <v>#REF!</v>
      </c>
      <c r="Q44" s="43" t="e">
        <f t="shared" si="7"/>
        <v>#REF!</v>
      </c>
    </row>
    <row r="45" spans="2:28" x14ac:dyDescent="0.45">
      <c r="B45" s="156"/>
      <c r="C45" s="152" t="s">
        <v>93</v>
      </c>
      <c r="D45" s="33" t="s">
        <v>143</v>
      </c>
      <c r="E45" s="64" t="e">
        <f>#REF!</f>
        <v>#REF!</v>
      </c>
      <c r="F45" s="64" t="e">
        <f>#REF!</f>
        <v>#REF!</v>
      </c>
      <c r="G45" s="77" t="e">
        <f>#REF!</f>
        <v>#REF!</v>
      </c>
      <c r="H45" s="64" t="e">
        <f>#REF!</f>
        <v>#REF!</v>
      </c>
      <c r="I45" s="64" t="e">
        <f>#REF!</f>
        <v>#REF!</v>
      </c>
      <c r="J45" s="64" t="e">
        <f>#REF!</f>
        <v>#REF!</v>
      </c>
      <c r="K45" s="64" t="e">
        <f>#REF!</f>
        <v>#REF!</v>
      </c>
      <c r="L45" s="64" t="e">
        <f>#REF!</f>
        <v>#REF!</v>
      </c>
      <c r="M45" s="64" t="e">
        <f>#REF!</f>
        <v>#REF!</v>
      </c>
      <c r="N45" s="64" t="e">
        <f>#REF!</f>
        <v>#REF!</v>
      </c>
      <c r="O45" s="64" t="e">
        <f>#REF!</f>
        <v>#REF!</v>
      </c>
      <c r="P45" s="64" t="e">
        <f>#REF!</f>
        <v>#REF!</v>
      </c>
      <c r="Q45" s="65" t="e">
        <f>#REF!</f>
        <v>#REF!</v>
      </c>
    </row>
    <row r="46" spans="2:28" x14ac:dyDescent="0.45">
      <c r="B46" s="156"/>
      <c r="C46" s="153"/>
      <c r="D46" s="26" t="s">
        <v>102</v>
      </c>
      <c r="E46" s="78">
        <v>78.709677419354833</v>
      </c>
      <c r="F46" s="78"/>
      <c r="G46" s="29">
        <v>0.60573476702508966</v>
      </c>
      <c r="H46" s="73">
        <v>4.2939068100358426</v>
      </c>
      <c r="I46" s="73">
        <v>3.978494623655914</v>
      </c>
      <c r="J46" s="73">
        <v>3.5591397849462365</v>
      </c>
      <c r="K46" s="73">
        <v>4.0716845878136203</v>
      </c>
      <c r="L46" s="73">
        <v>3.978494623655914</v>
      </c>
      <c r="M46" s="73">
        <v>4.0394265232974913</v>
      </c>
      <c r="N46" s="73">
        <v>3.946236559139785</v>
      </c>
      <c r="O46" s="73">
        <v>4.279569892473118</v>
      </c>
      <c r="P46" s="73">
        <v>3.7419354838709675</v>
      </c>
      <c r="Q46" s="74">
        <v>4.3405017921146953</v>
      </c>
      <c r="R46" s="19"/>
      <c r="S46" s="19"/>
      <c r="T46" s="19"/>
      <c r="U46" s="19"/>
      <c r="V46" s="19"/>
      <c r="W46" s="19"/>
      <c r="X46" s="19"/>
      <c r="Y46" s="19"/>
      <c r="Z46" s="19"/>
      <c r="AA46" s="19"/>
      <c r="AB46" s="19"/>
    </row>
    <row r="47" spans="2:28" ht="15.6" thickBot="1" x14ac:dyDescent="0.5">
      <c r="B47" s="156"/>
      <c r="C47" s="154"/>
      <c r="D47" s="83" t="s">
        <v>70</v>
      </c>
      <c r="E47" s="79">
        <v>76.681034482758619</v>
      </c>
      <c r="F47" s="79"/>
      <c r="G47" s="80">
        <v>0.52155172413793105</v>
      </c>
      <c r="H47" s="75">
        <v>4.3405172413793105</v>
      </c>
      <c r="I47" s="75">
        <v>3.8232758620689653</v>
      </c>
      <c r="J47" s="75">
        <v>3.353448275862069</v>
      </c>
      <c r="K47" s="75">
        <v>3.9353448275862069</v>
      </c>
      <c r="L47" s="75">
        <v>3.8706896551724137</v>
      </c>
      <c r="M47" s="75">
        <v>3.9224137931034484</v>
      </c>
      <c r="N47" s="75">
        <v>3.8275862068965516</v>
      </c>
      <c r="O47" s="75">
        <v>4.375</v>
      </c>
      <c r="P47" s="75">
        <v>3.2586206896551726</v>
      </c>
      <c r="Q47" s="76">
        <v>4.125</v>
      </c>
      <c r="R47" s="19"/>
      <c r="S47" s="19"/>
      <c r="T47" s="19"/>
      <c r="U47" s="19"/>
      <c r="V47" s="19"/>
      <c r="W47" s="19"/>
      <c r="X47" s="19"/>
      <c r="Y47" s="19"/>
      <c r="Z47" s="19"/>
      <c r="AA47" s="19"/>
      <c r="AB47" s="19"/>
    </row>
    <row r="48" spans="2:28" ht="15.6" thickBot="1" x14ac:dyDescent="0.5">
      <c r="B48" s="156"/>
      <c r="C48" s="36" t="s">
        <v>91</v>
      </c>
      <c r="D48" s="44"/>
      <c r="E48" s="39" t="e">
        <f>E45-E46</f>
        <v>#REF!</v>
      </c>
      <c r="F48" s="91"/>
      <c r="G48" s="40" t="e">
        <f>G45-G46</f>
        <v>#REF!</v>
      </c>
      <c r="H48" s="38" t="e">
        <f>H45-H46</f>
        <v>#REF!</v>
      </c>
      <c r="I48" s="41" t="e">
        <f>I45-I46</f>
        <v>#REF!</v>
      </c>
      <c r="J48" s="42" t="e">
        <f t="shared" ref="J48:Q48" si="8">J45-J46</f>
        <v>#REF!</v>
      </c>
      <c r="K48" s="41" t="e">
        <f t="shared" si="8"/>
        <v>#REF!</v>
      </c>
      <c r="L48" s="42" t="e">
        <f t="shared" si="8"/>
        <v>#REF!</v>
      </c>
      <c r="M48" s="41" t="e">
        <f t="shared" si="8"/>
        <v>#REF!</v>
      </c>
      <c r="N48" s="42" t="e">
        <f t="shared" si="8"/>
        <v>#REF!</v>
      </c>
      <c r="O48" s="41" t="e">
        <f t="shared" si="8"/>
        <v>#REF!</v>
      </c>
      <c r="P48" s="45" t="e">
        <f t="shared" si="8"/>
        <v>#REF!</v>
      </c>
      <c r="Q48" s="43" t="e">
        <f t="shared" si="8"/>
        <v>#REF!</v>
      </c>
    </row>
    <row r="49" spans="2:28" x14ac:dyDescent="0.45">
      <c r="B49" s="156"/>
      <c r="C49" s="152" t="s">
        <v>92</v>
      </c>
      <c r="D49" s="33" t="s">
        <v>143</v>
      </c>
      <c r="E49" s="169"/>
      <c r="F49" s="87"/>
      <c r="G49" s="31"/>
      <c r="H49" s="64" t="e">
        <f>#REF!</f>
        <v>#REF!</v>
      </c>
      <c r="I49" s="64" t="e">
        <f>#REF!</f>
        <v>#REF!</v>
      </c>
      <c r="J49" s="64" t="e">
        <f>#REF!</f>
        <v>#REF!</v>
      </c>
      <c r="K49" s="64" t="e">
        <f>#REF!</f>
        <v>#REF!</v>
      </c>
      <c r="L49" s="64" t="e">
        <f>#REF!</f>
        <v>#REF!</v>
      </c>
      <c r="M49" s="64" t="e">
        <f>#REF!</f>
        <v>#REF!</v>
      </c>
      <c r="N49" s="64" t="e">
        <f>#REF!</f>
        <v>#REF!</v>
      </c>
      <c r="O49" s="64" t="e">
        <f>#REF!</f>
        <v>#REF!</v>
      </c>
      <c r="P49" s="64" t="e">
        <f>#REF!</f>
        <v>#REF!</v>
      </c>
      <c r="Q49" s="65" t="e">
        <f>#REF!</f>
        <v>#REF!</v>
      </c>
    </row>
    <row r="50" spans="2:28" ht="18" customHeight="1" x14ac:dyDescent="0.45">
      <c r="B50" s="156"/>
      <c r="C50" s="153"/>
      <c r="D50" s="26" t="s">
        <v>102</v>
      </c>
      <c r="E50" s="170"/>
      <c r="F50" s="88"/>
      <c r="G50" s="28"/>
      <c r="H50" s="73">
        <v>4.66044776119403</v>
      </c>
      <c r="I50" s="73">
        <v>4.5186567164179108</v>
      </c>
      <c r="J50" s="73">
        <v>4.3134328358208958</v>
      </c>
      <c r="K50" s="73">
        <v>4.4402985074626864</v>
      </c>
      <c r="L50" s="73">
        <v>4.5335820895522385</v>
      </c>
      <c r="M50" s="73">
        <v>4.5037313432835822</v>
      </c>
      <c r="N50" s="73">
        <v>4.4440298507462686</v>
      </c>
      <c r="O50" s="73">
        <v>4.6007462686567164</v>
      </c>
      <c r="P50" s="73">
        <v>4.294776119402985</v>
      </c>
      <c r="Q50" s="74">
        <v>4.4738805970149258</v>
      </c>
      <c r="R50" s="19"/>
      <c r="S50" s="19"/>
      <c r="T50" s="19"/>
      <c r="U50" s="19"/>
      <c r="V50" s="19"/>
      <c r="W50" s="19"/>
      <c r="X50" s="19"/>
      <c r="Y50" s="19"/>
      <c r="Z50" s="19"/>
      <c r="AA50" s="19"/>
      <c r="AB50" s="19"/>
    </row>
    <row r="51" spans="2:28" ht="18.45" customHeight="1" thickBot="1" x14ac:dyDescent="0.5">
      <c r="B51" s="156"/>
      <c r="C51" s="154"/>
      <c r="D51" s="83" t="s">
        <v>70</v>
      </c>
      <c r="E51" s="171"/>
      <c r="F51" s="89"/>
      <c r="G51" s="54"/>
      <c r="H51" s="75">
        <v>4.8536585365853657</v>
      </c>
      <c r="I51" s="75">
        <v>4.5609756097560972</v>
      </c>
      <c r="J51" s="75">
        <v>4.3170731707317076</v>
      </c>
      <c r="K51" s="75">
        <v>4.3414634146341466</v>
      </c>
      <c r="L51" s="75">
        <v>4.6097560975609753</v>
      </c>
      <c r="M51" s="75">
        <v>4.5365853658536581</v>
      </c>
      <c r="N51" s="75">
        <v>4.4878048780487809</v>
      </c>
      <c r="O51" s="75">
        <v>4.6585365853658534</v>
      </c>
      <c r="P51" s="75">
        <v>4.0975609756097562</v>
      </c>
      <c r="Q51" s="76">
        <v>4.2195121951219514</v>
      </c>
      <c r="R51" s="19"/>
      <c r="S51" s="19"/>
      <c r="T51" s="19"/>
      <c r="U51" s="19"/>
      <c r="V51" s="19"/>
      <c r="W51" s="19"/>
      <c r="X51" s="19"/>
      <c r="Y51" s="19"/>
      <c r="Z51" s="19"/>
      <c r="AA51" s="19"/>
      <c r="AB51" s="19"/>
    </row>
    <row r="52" spans="2:28" ht="15.6" thickBot="1" x14ac:dyDescent="0.5">
      <c r="B52" s="157"/>
      <c r="C52" s="32" t="s">
        <v>91</v>
      </c>
      <c r="D52" s="46"/>
      <c r="E52" s="47" t="s">
        <v>69</v>
      </c>
      <c r="F52" s="92"/>
      <c r="G52" s="48" t="s">
        <v>69</v>
      </c>
      <c r="H52" s="49" t="e">
        <f>H49-H50</f>
        <v>#REF!</v>
      </c>
      <c r="I52" s="50" t="e">
        <f>I49-I50</f>
        <v>#REF!</v>
      </c>
      <c r="J52" s="51" t="e">
        <f t="shared" ref="J52:Q52" si="9">J49-J50</f>
        <v>#REF!</v>
      </c>
      <c r="K52" s="50" t="e">
        <f t="shared" si="9"/>
        <v>#REF!</v>
      </c>
      <c r="L52" s="51" t="e">
        <f t="shared" si="9"/>
        <v>#REF!</v>
      </c>
      <c r="M52" s="50" t="e">
        <f t="shared" si="9"/>
        <v>#REF!</v>
      </c>
      <c r="N52" s="51" t="e">
        <f t="shared" si="9"/>
        <v>#REF!</v>
      </c>
      <c r="O52" s="50" t="e">
        <f t="shared" si="9"/>
        <v>#REF!</v>
      </c>
      <c r="P52" s="51" t="e">
        <f t="shared" si="9"/>
        <v>#REF!</v>
      </c>
      <c r="Q52" s="52" t="e">
        <f t="shared" si="9"/>
        <v>#REF!</v>
      </c>
    </row>
    <row r="54" spans="2:28" x14ac:dyDescent="0.45">
      <c r="C54" s="11" t="s">
        <v>90</v>
      </c>
      <c r="D54" s="17" t="s">
        <v>89</v>
      </c>
    </row>
    <row r="55" spans="2:28" x14ac:dyDescent="0.45">
      <c r="C55" s="18"/>
      <c r="D55" s="15" t="s">
        <v>88</v>
      </c>
      <c r="E55" s="13"/>
      <c r="F55" s="13"/>
      <c r="G55" s="14"/>
      <c r="H55" s="14" t="s">
        <v>77</v>
      </c>
      <c r="I55" s="14"/>
      <c r="J55" s="14"/>
      <c r="K55" s="14"/>
      <c r="L55" s="14"/>
      <c r="M55" s="14"/>
      <c r="N55" s="14"/>
      <c r="O55" s="14"/>
      <c r="P55" s="14"/>
      <c r="Q55" s="14"/>
      <c r="R55" s="14"/>
    </row>
    <row r="56" spans="2:28" x14ac:dyDescent="0.45">
      <c r="D56" s="15" t="s">
        <v>87</v>
      </c>
      <c r="E56" s="13"/>
      <c r="F56" s="13"/>
      <c r="G56" s="14"/>
      <c r="H56" s="14" t="s">
        <v>77</v>
      </c>
      <c r="I56" s="14"/>
      <c r="J56" s="14"/>
      <c r="K56" s="14"/>
      <c r="L56" s="14"/>
      <c r="M56" s="14"/>
      <c r="N56" s="14"/>
      <c r="O56" s="14"/>
      <c r="P56" s="14"/>
      <c r="Q56" s="14"/>
      <c r="R56" s="14"/>
    </row>
    <row r="57" spans="2:28" x14ac:dyDescent="0.45">
      <c r="D57" s="17" t="s">
        <v>86</v>
      </c>
      <c r="E57" s="13"/>
      <c r="F57" s="13"/>
      <c r="G57" s="14"/>
      <c r="H57" s="14" t="s">
        <v>77</v>
      </c>
      <c r="I57" s="14"/>
      <c r="L57" s="14"/>
      <c r="M57" s="14"/>
      <c r="N57" s="14"/>
      <c r="O57" s="14"/>
      <c r="P57" s="14"/>
      <c r="Q57" s="14"/>
      <c r="R57" s="14"/>
    </row>
    <row r="58" spans="2:28" x14ac:dyDescent="0.45">
      <c r="D58" s="15" t="s">
        <v>85</v>
      </c>
      <c r="E58" s="13"/>
      <c r="F58" s="13"/>
      <c r="G58" s="14"/>
      <c r="H58" s="14" t="s">
        <v>77</v>
      </c>
      <c r="I58" s="14"/>
      <c r="J58" s="14"/>
      <c r="K58" s="14"/>
      <c r="L58" s="14"/>
      <c r="M58" s="14"/>
      <c r="N58" s="14"/>
      <c r="O58" s="14"/>
      <c r="P58" s="14"/>
      <c r="Q58" s="14"/>
      <c r="R58" s="14"/>
    </row>
    <row r="59" spans="2:28" x14ac:dyDescent="0.45">
      <c r="D59" s="15" t="s">
        <v>84</v>
      </c>
      <c r="E59" s="13"/>
      <c r="F59" s="13"/>
      <c r="G59" s="14"/>
      <c r="H59" s="14"/>
      <c r="I59" s="14"/>
      <c r="J59" s="14"/>
      <c r="K59" s="14"/>
      <c r="L59" s="14"/>
      <c r="M59" s="14"/>
      <c r="N59" s="14"/>
      <c r="O59" s="14"/>
      <c r="P59" s="14"/>
      <c r="Q59" s="14"/>
      <c r="R59" s="14"/>
    </row>
    <row r="60" spans="2:28" x14ac:dyDescent="0.45">
      <c r="D60" s="15" t="s">
        <v>83</v>
      </c>
      <c r="E60" s="13"/>
      <c r="F60" s="13"/>
      <c r="G60" s="14"/>
      <c r="H60" s="14" t="s">
        <v>77</v>
      </c>
      <c r="I60" s="14"/>
      <c r="J60" s="14"/>
      <c r="K60" s="14"/>
      <c r="L60" s="14"/>
      <c r="M60" s="14"/>
      <c r="N60" s="14"/>
      <c r="O60" s="14"/>
      <c r="P60" s="14"/>
      <c r="Q60" s="14"/>
      <c r="R60" s="14"/>
    </row>
    <row r="61" spans="2:28" x14ac:dyDescent="0.45">
      <c r="D61" s="15" t="s">
        <v>82</v>
      </c>
      <c r="E61" s="13"/>
      <c r="F61" s="13"/>
      <c r="G61" s="14"/>
      <c r="H61" s="14" t="s">
        <v>77</v>
      </c>
      <c r="I61" s="14"/>
      <c r="J61" s="14"/>
      <c r="K61" s="14"/>
      <c r="L61" s="14"/>
      <c r="M61" s="14"/>
      <c r="N61" s="14"/>
      <c r="O61" s="14"/>
      <c r="P61" s="14"/>
      <c r="Q61" s="14"/>
      <c r="R61" s="14"/>
    </row>
    <row r="62" spans="2:28" x14ac:dyDescent="0.45">
      <c r="D62" s="16" t="s">
        <v>81</v>
      </c>
      <c r="E62" s="13"/>
      <c r="F62" s="13"/>
      <c r="G62" s="14"/>
      <c r="H62" s="14" t="s">
        <v>77</v>
      </c>
      <c r="I62" s="14"/>
      <c r="J62" s="14"/>
      <c r="K62" s="14"/>
      <c r="L62" s="14"/>
      <c r="M62" s="14"/>
      <c r="N62" s="14"/>
      <c r="O62" s="14"/>
      <c r="P62" s="14"/>
      <c r="Q62" s="14"/>
      <c r="R62" s="14"/>
    </row>
    <row r="63" spans="2:28" x14ac:dyDescent="0.45">
      <c r="D63" s="15" t="s">
        <v>80</v>
      </c>
      <c r="E63" s="13"/>
      <c r="F63" s="13"/>
      <c r="G63" s="14"/>
      <c r="H63" s="14" t="s">
        <v>77</v>
      </c>
      <c r="I63" s="14"/>
      <c r="J63" s="14"/>
      <c r="K63" s="14"/>
      <c r="L63" s="14"/>
      <c r="M63" s="14"/>
      <c r="N63" s="14"/>
      <c r="O63" s="14"/>
      <c r="P63" s="14"/>
      <c r="Q63" s="14"/>
      <c r="R63" s="14"/>
    </row>
    <row r="64" spans="2:28" x14ac:dyDescent="0.45">
      <c r="D64" s="15" t="s">
        <v>79</v>
      </c>
      <c r="E64" s="13"/>
      <c r="F64" s="13"/>
      <c r="G64" s="14"/>
      <c r="H64" s="14" t="s">
        <v>77</v>
      </c>
      <c r="I64" s="14"/>
      <c r="J64" s="14"/>
      <c r="K64" s="14"/>
      <c r="L64" s="14"/>
      <c r="M64" s="14"/>
      <c r="N64" s="14"/>
      <c r="O64" s="14"/>
      <c r="P64" s="14"/>
      <c r="Q64" s="14"/>
      <c r="R64" s="14"/>
    </row>
    <row r="65" spans="3:18" x14ac:dyDescent="0.45">
      <c r="D65" s="15" t="s">
        <v>78</v>
      </c>
      <c r="E65" s="13"/>
      <c r="F65" s="13"/>
      <c r="G65" s="14"/>
      <c r="H65" s="14" t="s">
        <v>77</v>
      </c>
      <c r="I65" s="14"/>
      <c r="J65" s="14"/>
      <c r="K65" s="14"/>
      <c r="L65" s="14"/>
      <c r="M65" s="14"/>
      <c r="N65" s="14"/>
      <c r="O65" s="14"/>
      <c r="P65" s="14"/>
      <c r="Q65" s="14"/>
      <c r="R65" s="14"/>
    </row>
    <row r="67" spans="3:18" x14ac:dyDescent="0.45">
      <c r="C67" s="11" t="s">
        <v>76</v>
      </c>
    </row>
    <row r="68" spans="3:18" x14ac:dyDescent="0.45">
      <c r="C68" s="11" t="s">
        <v>75</v>
      </c>
      <c r="E68" s="13"/>
      <c r="F68" s="13"/>
    </row>
    <row r="69" spans="3:18" x14ac:dyDescent="0.45">
      <c r="C69" s="11" t="s">
        <v>74</v>
      </c>
      <c r="E69" s="13"/>
      <c r="F69" s="13"/>
    </row>
    <row r="70" spans="3:18" x14ac:dyDescent="0.45">
      <c r="C70" s="11" t="s">
        <v>141</v>
      </c>
      <c r="E70" s="13"/>
      <c r="F70" s="13"/>
    </row>
    <row r="72" spans="3:18" x14ac:dyDescent="0.45">
      <c r="C72" s="11" t="s">
        <v>73</v>
      </c>
    </row>
    <row r="73" spans="3:18" x14ac:dyDescent="0.45">
      <c r="C73" s="11" t="s">
        <v>72</v>
      </c>
    </row>
    <row r="74" spans="3:18" x14ac:dyDescent="0.45">
      <c r="C74" s="11" t="s">
        <v>71</v>
      </c>
    </row>
    <row r="78" spans="3:18" x14ac:dyDescent="0.45">
      <c r="C78" s="11" t="s">
        <v>67</v>
      </c>
      <c r="D78" s="11" t="s">
        <v>68</v>
      </c>
    </row>
    <row r="79" spans="3:18" x14ac:dyDescent="0.45">
      <c r="C79" s="11">
        <v>0</v>
      </c>
      <c r="D79" s="11">
        <v>39</v>
      </c>
    </row>
    <row r="80" spans="3:18" x14ac:dyDescent="0.45">
      <c r="C80" s="11">
        <v>1</v>
      </c>
      <c r="D80" s="11">
        <v>38</v>
      </c>
    </row>
    <row r="81" spans="3:4" x14ac:dyDescent="0.45">
      <c r="C81" s="11">
        <v>2</v>
      </c>
      <c r="D81" s="11">
        <v>37</v>
      </c>
    </row>
    <row r="82" spans="3:4" x14ac:dyDescent="0.45">
      <c r="C82" s="11">
        <v>3</v>
      </c>
      <c r="D82" s="11">
        <v>36</v>
      </c>
    </row>
    <row r="83" spans="3:4" x14ac:dyDescent="0.45">
      <c r="C83" s="11">
        <v>4</v>
      </c>
      <c r="D83" s="11">
        <v>35</v>
      </c>
    </row>
    <row r="84" spans="3:4" x14ac:dyDescent="0.45">
      <c r="C84" s="11">
        <v>9</v>
      </c>
      <c r="D84" s="11">
        <v>30</v>
      </c>
    </row>
    <row r="85" spans="3:4" x14ac:dyDescent="0.45">
      <c r="C85" s="11">
        <v>10</v>
      </c>
      <c r="D85" s="11">
        <v>29</v>
      </c>
    </row>
    <row r="86" spans="3:4" x14ac:dyDescent="0.45">
      <c r="C86" s="11">
        <v>11</v>
      </c>
      <c r="D86" s="11">
        <v>28</v>
      </c>
    </row>
    <row r="87" spans="3:4" x14ac:dyDescent="0.45">
      <c r="C87" s="11">
        <v>12</v>
      </c>
      <c r="D87" s="11">
        <v>27</v>
      </c>
    </row>
    <row r="88" spans="3:4" x14ac:dyDescent="0.45">
      <c r="C88" s="11">
        <v>16</v>
      </c>
      <c r="D88" s="11">
        <v>23</v>
      </c>
    </row>
    <row r="89" spans="3:4" x14ac:dyDescent="0.45">
      <c r="C89" s="11">
        <v>17</v>
      </c>
      <c r="D89" s="11">
        <v>22</v>
      </c>
    </row>
    <row r="90" spans="3:4" x14ac:dyDescent="0.45">
      <c r="C90" s="11">
        <v>18</v>
      </c>
      <c r="D90" s="11">
        <v>21</v>
      </c>
    </row>
    <row r="91" spans="3:4" x14ac:dyDescent="0.45">
      <c r="C91" s="11">
        <v>19</v>
      </c>
      <c r="D91" s="11">
        <v>20</v>
      </c>
    </row>
    <row r="92" spans="3:4" x14ac:dyDescent="0.45">
      <c r="C92" s="11">
        <v>39</v>
      </c>
      <c r="D92" s="11">
        <v>0</v>
      </c>
    </row>
  </sheetData>
  <mergeCells count="29">
    <mergeCell ref="C41:C43"/>
    <mergeCell ref="C45:C47"/>
    <mergeCell ref="C49:C51"/>
    <mergeCell ref="B34:C36"/>
    <mergeCell ref="B37:B52"/>
    <mergeCell ref="C37:C39"/>
    <mergeCell ref="D2:D4"/>
    <mergeCell ref="H2:Q2"/>
    <mergeCell ref="E3:G3"/>
    <mergeCell ref="E2:G2"/>
    <mergeCell ref="E49:E51"/>
    <mergeCell ref="D34:D36"/>
    <mergeCell ref="H34:Q34"/>
    <mergeCell ref="H18:Q18"/>
    <mergeCell ref="E34:G34"/>
    <mergeCell ref="E35:G35"/>
    <mergeCell ref="D18:D20"/>
    <mergeCell ref="E18:G18"/>
    <mergeCell ref="E19:G19"/>
    <mergeCell ref="B2:C4"/>
    <mergeCell ref="C9:C11"/>
    <mergeCell ref="C13:C15"/>
    <mergeCell ref="C21:C23"/>
    <mergeCell ref="B18:C20"/>
    <mergeCell ref="B5:B16"/>
    <mergeCell ref="B21:B32"/>
    <mergeCell ref="C5:C7"/>
    <mergeCell ref="C29:C31"/>
    <mergeCell ref="C25:C27"/>
  </mergeCells>
  <phoneticPr fontId="1"/>
  <conditionalFormatting sqref="H5:Q7">
    <cfRule type="cellIs" dxfId="14" priority="11" operator="lessThanOrEqual">
      <formula>3.4</formula>
    </cfRule>
  </conditionalFormatting>
  <conditionalFormatting sqref="H9:Q9">
    <cfRule type="cellIs" dxfId="13" priority="10" operator="lessThanOrEqual">
      <formula>3.4</formula>
    </cfRule>
  </conditionalFormatting>
  <conditionalFormatting sqref="H10:Q10">
    <cfRule type="cellIs" dxfId="12" priority="12" operator="lessThanOrEqual">
      <formula>3.4</formula>
    </cfRule>
  </conditionalFormatting>
  <conditionalFormatting sqref="H11:Q11">
    <cfRule type="cellIs" dxfId="11" priority="14" operator="lessThanOrEqual">
      <formula>3.4</formula>
    </cfRule>
  </conditionalFormatting>
  <conditionalFormatting sqref="H13:Q13">
    <cfRule type="cellIs" dxfId="10" priority="9" operator="lessThanOrEqual">
      <formula>3.4</formula>
    </cfRule>
  </conditionalFormatting>
  <conditionalFormatting sqref="H14:Q14 H22:Q22 H26:Q26 H30:Q30 H38:Q38 H42:Q42 H46:Q46 H50:Q50">
    <cfRule type="cellIs" dxfId="9" priority="16" operator="lessThanOrEqual">
      <formula>3.4</formula>
    </cfRule>
  </conditionalFormatting>
  <conditionalFormatting sqref="H15:Q15 H23:Q23 H31:Q31 H39:Q39 H43:Q43">
    <cfRule type="cellIs" dxfId="8" priority="18" operator="lessThanOrEqual">
      <formula>3.4</formula>
    </cfRule>
  </conditionalFormatting>
  <conditionalFormatting sqref="H21:Q21">
    <cfRule type="cellIs" dxfId="7" priority="8" operator="lessThanOrEqual">
      <formula>3.4</formula>
    </cfRule>
  </conditionalFormatting>
  <conditionalFormatting sqref="H25:Q25">
    <cfRule type="cellIs" dxfId="6" priority="7" operator="lessThanOrEqual">
      <formula>3.4</formula>
    </cfRule>
  </conditionalFormatting>
  <conditionalFormatting sqref="H27:Q27 H47:Q47 H51:Q51">
    <cfRule type="cellIs" dxfId="5" priority="15" operator="lessThanOrEqual">
      <formula>3.4</formula>
    </cfRule>
  </conditionalFormatting>
  <conditionalFormatting sqref="H29:Q29">
    <cfRule type="cellIs" dxfId="4" priority="6" operator="lessThanOrEqual">
      <formula>3.4</formula>
    </cfRule>
  </conditionalFormatting>
  <conditionalFormatting sqref="H37:Q37">
    <cfRule type="cellIs" dxfId="3" priority="5" operator="lessThanOrEqual">
      <formula>3.4</formula>
    </cfRule>
  </conditionalFormatting>
  <conditionalFormatting sqref="H41:Q41">
    <cfRule type="cellIs" dxfId="2" priority="4" operator="lessThanOrEqual">
      <formula>3.4</formula>
    </cfRule>
  </conditionalFormatting>
  <conditionalFormatting sqref="H45:Q45">
    <cfRule type="cellIs" dxfId="1" priority="3" operator="lessThanOrEqual">
      <formula>3.4</formula>
    </cfRule>
  </conditionalFormatting>
  <conditionalFormatting sqref="H49:Q49">
    <cfRule type="cellIs" dxfId="0" priority="2" operator="lessThanOrEqual">
      <formula>3.4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iconSet" priority="1" id="{00000000-000E-0000-0000-000001000000}">
            <x14:iconSet iconSet="3Arrows" custom="1">
              <x14:cfvo type="percent">
                <xm:f>0</xm:f>
              </x14:cfvo>
              <x14:cfvo type="num" gte="0">
                <xm:f>-0.25</xm:f>
              </x14:cfvo>
              <x14:cfvo type="num">
                <xm:f>0.25</xm:f>
              </x14:cfvo>
              <x14:cfIcon iconSet="3Arrows" iconId="0"/>
              <x14:cfIcon iconSet="NoIcons" iconId="0"/>
              <x14:cfIcon iconSet="3Arrows" iconId="2"/>
            </x14:iconSet>
          </x14:cfRule>
          <xm:sqref>H8:Q8 H12:P12 H16:Q16 H24:Q24 H28:Q28 H32:Q32 H40:Q40 H44:Q44 H48:Q48 H52:Q52</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39997558519241921"/>
  </sheetPr>
  <dimension ref="A1:AH46"/>
  <sheetViews>
    <sheetView workbookViewId="0">
      <selection activeCell="M6" sqref="M6"/>
    </sheetView>
  </sheetViews>
  <sheetFormatPr defaultRowHeight="18" x14ac:dyDescent="0.45"/>
  <cols>
    <col min="3" max="3" width="9" style="1"/>
  </cols>
  <sheetData>
    <row r="1" spans="1:34" x14ac:dyDescent="0.45">
      <c r="A1" s="7" t="s">
        <v>44</v>
      </c>
      <c r="B1" s="7" t="s">
        <v>45</v>
      </c>
      <c r="C1" s="8" t="s">
        <v>46</v>
      </c>
      <c r="D1" s="7" t="s">
        <v>132</v>
      </c>
      <c r="E1" s="7" t="s">
        <v>47</v>
      </c>
      <c r="F1" s="7" t="s">
        <v>48</v>
      </c>
      <c r="G1" s="7" t="s">
        <v>49</v>
      </c>
      <c r="H1" s="7" t="s">
        <v>50</v>
      </c>
      <c r="I1" s="7" t="s">
        <v>51</v>
      </c>
      <c r="J1" s="7" t="s">
        <v>52</v>
      </c>
    </row>
    <row r="2" spans="1:34" s="10" customFormat="1" x14ac:dyDescent="0.45">
      <c r="A2" s="9" t="e">
        <f>AG5</f>
        <v>#DIV/0!</v>
      </c>
      <c r="B2" s="9" t="e">
        <f>G5</f>
        <v>#DIV/0!</v>
      </c>
      <c r="C2" s="9" t="e">
        <f>H5</f>
        <v>#DIV/0!</v>
      </c>
      <c r="D2" s="9" t="e">
        <f>M5</f>
        <v>#DIV/0!</v>
      </c>
      <c r="E2" s="9" t="e">
        <f>P5</f>
        <v>#DIV/0!</v>
      </c>
      <c r="F2" s="9" t="e">
        <f>S5</f>
        <v>#DIV/0!</v>
      </c>
      <c r="G2" s="9" t="e">
        <f>V5</f>
        <v>#DIV/0!</v>
      </c>
      <c r="H2" s="9" t="e">
        <f>Y5</f>
        <v>#DIV/0!</v>
      </c>
      <c r="I2" s="9" t="e">
        <f>AB5</f>
        <v>#DIV/0!</v>
      </c>
      <c r="J2" s="9" t="e">
        <f>AE5</f>
        <v>#DIV/0!</v>
      </c>
    </row>
    <row r="3" spans="1:34" x14ac:dyDescent="0.45">
      <c r="M3" t="s">
        <v>134</v>
      </c>
    </row>
    <row r="4" spans="1:34" ht="24.75" customHeight="1" x14ac:dyDescent="0.45">
      <c r="F4" s="3"/>
      <c r="G4" s="2" t="s">
        <v>0</v>
      </c>
      <c r="H4" s="2" t="s">
        <v>1</v>
      </c>
      <c r="I4" s="3" t="s">
        <v>2</v>
      </c>
      <c r="J4" s="3"/>
      <c r="K4" s="3"/>
      <c r="L4" s="3"/>
      <c r="M4" s="2" t="s">
        <v>133</v>
      </c>
      <c r="N4" s="3" t="s">
        <v>3</v>
      </c>
      <c r="O4" s="3"/>
      <c r="P4" s="2" t="s">
        <v>4</v>
      </c>
      <c r="Q4" s="3" t="s">
        <v>5</v>
      </c>
      <c r="R4" s="3" t="s">
        <v>2</v>
      </c>
      <c r="S4" s="2" t="s">
        <v>6</v>
      </c>
      <c r="T4" s="3" t="s">
        <v>5</v>
      </c>
      <c r="U4" s="3" t="s">
        <v>2</v>
      </c>
      <c r="V4" s="2" t="s">
        <v>7</v>
      </c>
      <c r="W4" s="3" t="s">
        <v>5</v>
      </c>
      <c r="X4" s="3" t="s">
        <v>2</v>
      </c>
      <c r="Y4" s="2" t="s">
        <v>8</v>
      </c>
      <c r="Z4" s="3" t="s">
        <v>5</v>
      </c>
      <c r="AA4" s="3" t="s">
        <v>2</v>
      </c>
      <c r="AB4" s="2" t="s">
        <v>9</v>
      </c>
      <c r="AC4" s="3" t="s">
        <v>5</v>
      </c>
      <c r="AD4" s="3" t="s">
        <v>2</v>
      </c>
      <c r="AE4" s="2" t="s">
        <v>10</v>
      </c>
      <c r="AF4" s="3" t="s">
        <v>2</v>
      </c>
      <c r="AG4" s="2" t="s">
        <v>11</v>
      </c>
      <c r="AH4" s="3" t="s">
        <v>2</v>
      </c>
    </row>
    <row r="5" spans="1:34" ht="24.75" customHeight="1" x14ac:dyDescent="0.45">
      <c r="F5" s="6" t="e">
        <f>AVERAGE(F8:F300)</f>
        <v>#DIV/0!</v>
      </c>
      <c r="G5" s="4" t="e">
        <f>AVERAGE(G9:G300)</f>
        <v>#DIV/0!</v>
      </c>
      <c r="H5" s="4" t="e">
        <f>AVERAGE(H9:H300)</f>
        <v>#DIV/0!</v>
      </c>
      <c r="I5" s="3"/>
      <c r="J5" s="6" t="e">
        <f>AVERAGE(J8:J300)</f>
        <v>#DIV/0!</v>
      </c>
      <c r="K5" s="6"/>
      <c r="L5" s="6"/>
      <c r="M5" s="4" t="e">
        <f>AVERAGE(M9:M300)</f>
        <v>#DIV/0!</v>
      </c>
      <c r="N5" s="6" t="e">
        <f>AVERAGE(N9:N300)</f>
        <v>#DIV/0!</v>
      </c>
      <c r="O5" s="6" t="e">
        <f>AVERAGE(M8:M300)</f>
        <v>#DIV/0!</v>
      </c>
      <c r="P5" s="4" t="e">
        <f>AVERAGE(P9:P300)</f>
        <v>#DIV/0!</v>
      </c>
      <c r="Q5" s="3"/>
      <c r="R5" s="3"/>
      <c r="S5" s="4" t="e">
        <f>AVERAGE(S9:S300)</f>
        <v>#DIV/0!</v>
      </c>
      <c r="T5" s="3"/>
      <c r="U5" s="3"/>
      <c r="V5" s="4" t="e">
        <f>AVERAGE(V9:V300)</f>
        <v>#DIV/0!</v>
      </c>
      <c r="W5" s="3"/>
      <c r="X5" s="3"/>
      <c r="Y5" s="4" t="e">
        <f>AVERAGE(Y9:Y300)</f>
        <v>#DIV/0!</v>
      </c>
      <c r="Z5" s="3"/>
      <c r="AA5" s="3"/>
      <c r="AB5" s="4" t="e">
        <f>AVERAGE(AB9:AB300)</f>
        <v>#DIV/0!</v>
      </c>
      <c r="AC5" s="3"/>
      <c r="AD5" s="3"/>
      <c r="AE5" s="4" t="e">
        <f>AVERAGE(AE9:AE300)</f>
        <v>#DIV/0!</v>
      </c>
      <c r="AF5" s="3"/>
      <c r="AG5" s="4" t="e">
        <f>AVERAGE(AG9:AG300)</f>
        <v>#DIV/0!</v>
      </c>
      <c r="AH5" s="3"/>
    </row>
    <row r="7" spans="1:34" x14ac:dyDescent="0.45">
      <c r="F7" s="5" t="s">
        <v>12</v>
      </c>
      <c r="G7" s="5" t="s">
        <v>13</v>
      </c>
      <c r="H7" s="5" t="s">
        <v>14</v>
      </c>
      <c r="I7" s="5" t="s">
        <v>15</v>
      </c>
      <c r="J7" s="5" t="s">
        <v>16</v>
      </c>
      <c r="K7" s="5" t="s">
        <v>17</v>
      </c>
      <c r="L7" s="5" t="s">
        <v>16</v>
      </c>
      <c r="M7" s="5" t="s">
        <v>17</v>
      </c>
      <c r="N7" s="5" t="s">
        <v>18</v>
      </c>
      <c r="O7" s="5" t="s">
        <v>19</v>
      </c>
      <c r="P7" s="5" t="s">
        <v>20</v>
      </c>
      <c r="Q7" s="5" t="s">
        <v>21</v>
      </c>
      <c r="R7" s="5" t="s">
        <v>22</v>
      </c>
      <c r="S7" s="5" t="s">
        <v>23</v>
      </c>
      <c r="T7" s="5" t="s">
        <v>24</v>
      </c>
      <c r="U7" s="5" t="s">
        <v>25</v>
      </c>
      <c r="V7" s="5" t="s">
        <v>26</v>
      </c>
      <c r="W7" s="5" t="s">
        <v>27</v>
      </c>
      <c r="X7" s="5" t="s">
        <v>28</v>
      </c>
      <c r="Y7" s="5" t="s">
        <v>29</v>
      </c>
      <c r="Z7" s="5" t="s">
        <v>30</v>
      </c>
      <c r="AA7" s="5" t="s">
        <v>31</v>
      </c>
      <c r="AB7" s="5" t="s">
        <v>32</v>
      </c>
      <c r="AC7" s="5" t="s">
        <v>33</v>
      </c>
      <c r="AD7" s="5" t="s">
        <v>34</v>
      </c>
      <c r="AE7" s="5" t="s">
        <v>35</v>
      </c>
      <c r="AF7" s="5" t="s">
        <v>36</v>
      </c>
      <c r="AG7" s="5" t="s">
        <v>37</v>
      </c>
      <c r="AH7" s="5" t="s">
        <v>38</v>
      </c>
    </row>
    <row r="8" spans="1:34" x14ac:dyDescent="0.45">
      <c r="A8" t="s">
        <v>39</v>
      </c>
      <c r="B8" t="s">
        <v>40</v>
      </c>
      <c r="C8" s="1" t="s">
        <v>41</v>
      </c>
      <c r="D8" t="s">
        <v>42</v>
      </c>
      <c r="E8" t="s">
        <v>43</v>
      </c>
      <c r="F8" t="s">
        <v>103</v>
      </c>
      <c r="G8" t="s">
        <v>104</v>
      </c>
      <c r="H8" t="s">
        <v>105</v>
      </c>
      <c r="I8" t="s">
        <v>106</v>
      </c>
      <c r="J8" t="s">
        <v>107</v>
      </c>
      <c r="K8" t="s">
        <v>108</v>
      </c>
      <c r="L8" t="s">
        <v>109</v>
      </c>
      <c r="M8" t="s">
        <v>110</v>
      </c>
      <c r="N8" t="s">
        <v>130</v>
      </c>
      <c r="O8" t="s">
        <v>111</v>
      </c>
      <c r="P8" t="s">
        <v>112</v>
      </c>
      <c r="Q8" t="s">
        <v>113</v>
      </c>
      <c r="R8" t="s">
        <v>114</v>
      </c>
      <c r="S8" t="s">
        <v>115</v>
      </c>
      <c r="T8" t="s">
        <v>116</v>
      </c>
      <c r="U8" s="5" t="s">
        <v>117</v>
      </c>
      <c r="V8" s="5" t="s">
        <v>118</v>
      </c>
      <c r="W8" t="s">
        <v>119</v>
      </c>
      <c r="X8" t="s">
        <v>120</v>
      </c>
      <c r="Y8" t="s">
        <v>121</v>
      </c>
      <c r="Z8" t="s">
        <v>122</v>
      </c>
      <c r="AA8" t="s">
        <v>123</v>
      </c>
      <c r="AB8" t="s">
        <v>124</v>
      </c>
      <c r="AC8" t="s">
        <v>125</v>
      </c>
      <c r="AD8" t="s">
        <v>126</v>
      </c>
      <c r="AE8" t="s">
        <v>127</v>
      </c>
      <c r="AF8" t="s">
        <v>128</v>
      </c>
      <c r="AG8" t="s">
        <v>131</v>
      </c>
      <c r="AH8" t="s">
        <v>129</v>
      </c>
    </row>
    <row r="9" spans="1:34" x14ac:dyDescent="0.45">
      <c r="F9" s="5"/>
      <c r="G9" s="5"/>
      <c r="H9" s="5"/>
      <c r="I9" s="5"/>
      <c r="J9" s="5"/>
      <c r="K9" s="5"/>
      <c r="L9" s="5"/>
      <c r="M9" s="5"/>
      <c r="N9" s="5"/>
      <c r="O9" s="5"/>
      <c r="P9" s="5"/>
      <c r="Q9" s="5"/>
      <c r="R9" s="5"/>
      <c r="S9" s="5"/>
      <c r="T9" s="5"/>
      <c r="U9" s="5"/>
      <c r="V9" s="5"/>
      <c r="W9" s="5"/>
      <c r="X9" s="5"/>
      <c r="Y9" s="5"/>
      <c r="Z9" s="5"/>
      <c r="AA9" s="5"/>
      <c r="AB9" s="5"/>
      <c r="AC9" s="5"/>
      <c r="AD9" s="5"/>
      <c r="AE9" s="5"/>
      <c r="AF9" s="5"/>
    </row>
    <row r="10" spans="1:34" x14ac:dyDescent="0.45">
      <c r="F10" s="5"/>
      <c r="G10" s="5"/>
      <c r="H10" s="5"/>
      <c r="I10" s="5"/>
      <c r="J10" s="5"/>
      <c r="K10" s="5"/>
      <c r="L10" s="5"/>
      <c r="M10" s="5"/>
      <c r="N10" s="5"/>
      <c r="O10" s="5"/>
      <c r="P10" s="5"/>
      <c r="Q10" s="5"/>
      <c r="R10" s="5"/>
      <c r="S10" s="5"/>
      <c r="T10" s="5"/>
      <c r="U10" s="5"/>
      <c r="V10" s="5"/>
      <c r="W10" s="5"/>
      <c r="X10" s="5"/>
      <c r="Y10" s="5"/>
      <c r="Z10" s="5"/>
      <c r="AA10" s="5"/>
      <c r="AB10" s="5"/>
      <c r="AC10" s="5"/>
      <c r="AD10" s="5"/>
      <c r="AE10" s="5"/>
      <c r="AF10" s="5"/>
    </row>
    <row r="11" spans="1:34" x14ac:dyDescent="0.45">
      <c r="F11" s="5"/>
      <c r="G11" s="5"/>
      <c r="H11" s="5"/>
      <c r="I11" s="5"/>
      <c r="J11" s="5"/>
      <c r="K11" s="5"/>
      <c r="L11" s="5"/>
      <c r="M11" s="5"/>
      <c r="N11" s="5"/>
      <c r="O11" s="5"/>
      <c r="P11" s="5"/>
      <c r="Q11" s="5"/>
      <c r="R11" s="5"/>
      <c r="S11" s="5"/>
      <c r="T11" s="5"/>
      <c r="U11" s="5"/>
      <c r="V11" s="5"/>
      <c r="W11" s="5"/>
      <c r="X11" s="5"/>
      <c r="Y11" s="5"/>
      <c r="Z11" s="5"/>
      <c r="AA11" s="5"/>
      <c r="AB11" s="5"/>
      <c r="AC11" s="5"/>
      <c r="AD11" s="5"/>
      <c r="AE11" s="5"/>
      <c r="AF11" s="5"/>
    </row>
    <row r="12" spans="1:34" x14ac:dyDescent="0.4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spans="1:34" x14ac:dyDescent="0.4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spans="1:34" x14ac:dyDescent="0.4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spans="1:34" x14ac:dyDescent="0.4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spans="1:34" x14ac:dyDescent="0.4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spans="6:32" x14ac:dyDescent="0.4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spans="6:32" x14ac:dyDescent="0.4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spans="6:32" x14ac:dyDescent="0.45">
      <c r="F19" s="5"/>
      <c r="G19" s="5"/>
      <c r="H19" s="5"/>
      <c r="I19" s="5"/>
      <c r="J19" s="5"/>
      <c r="K19" s="5"/>
      <c r="L19" s="5"/>
      <c r="M19" s="5"/>
      <c r="N19" s="5"/>
      <c r="O19" s="5"/>
      <c r="P19" s="5"/>
      <c r="Q19" s="5"/>
      <c r="R19" s="5"/>
      <c r="S19" s="5"/>
      <c r="T19" s="5"/>
      <c r="U19" s="5"/>
      <c r="V19" s="5"/>
      <c r="W19" s="5"/>
      <c r="X19" s="5"/>
      <c r="Y19" s="5"/>
      <c r="Z19" s="5"/>
      <c r="AA19" s="5"/>
      <c r="AB19" s="5"/>
      <c r="AC19" s="5"/>
      <c r="AD19" s="5"/>
      <c r="AE19" s="5"/>
      <c r="AF19" s="5"/>
    </row>
    <row r="20" spans="6:32" x14ac:dyDescent="0.45">
      <c r="F20" s="5"/>
      <c r="G20" s="5"/>
      <c r="H20" s="5"/>
      <c r="I20" s="5"/>
      <c r="J20" s="5"/>
      <c r="K20" s="5"/>
      <c r="L20" s="5"/>
      <c r="M20" s="5"/>
      <c r="N20" s="5"/>
      <c r="O20" s="5"/>
      <c r="P20" s="5"/>
      <c r="Q20" s="5"/>
      <c r="R20" s="5"/>
      <c r="S20" s="5"/>
      <c r="T20" s="5"/>
      <c r="U20" s="5"/>
      <c r="V20" s="5"/>
      <c r="W20" s="5"/>
      <c r="X20" s="5"/>
      <c r="Y20" s="5"/>
      <c r="Z20" s="5"/>
      <c r="AA20" s="5"/>
      <c r="AB20" s="5"/>
      <c r="AC20" s="5"/>
      <c r="AD20" s="5"/>
      <c r="AE20" s="5"/>
      <c r="AF20" s="5"/>
    </row>
    <row r="21" spans="6:32" x14ac:dyDescent="0.45">
      <c r="F21" s="5"/>
      <c r="G21" s="5"/>
      <c r="H21" s="5"/>
      <c r="I21" s="5"/>
      <c r="J21" s="5"/>
      <c r="K21" s="5"/>
      <c r="L21" s="5"/>
      <c r="M21" s="5"/>
      <c r="N21" s="5"/>
      <c r="O21" s="5"/>
      <c r="P21" s="5"/>
      <c r="Q21" s="5"/>
      <c r="R21" s="5"/>
      <c r="S21" s="5"/>
      <c r="T21" s="5"/>
      <c r="U21" s="5"/>
      <c r="V21" s="5"/>
      <c r="W21" s="5"/>
      <c r="X21" s="5"/>
      <c r="Y21" s="5"/>
      <c r="Z21" s="5"/>
      <c r="AA21" s="5"/>
      <c r="AB21" s="5"/>
      <c r="AC21" s="5"/>
      <c r="AD21" s="5"/>
      <c r="AE21" s="5"/>
      <c r="AF21" s="5"/>
    </row>
    <row r="22" spans="6:32" x14ac:dyDescent="0.45">
      <c r="F22" s="5"/>
      <c r="G22" s="5"/>
      <c r="H22" s="5"/>
      <c r="I22" s="5"/>
      <c r="J22" s="5"/>
      <c r="K22" s="5"/>
      <c r="L22" s="5"/>
      <c r="M22" s="5"/>
      <c r="N22" s="5"/>
      <c r="O22" s="5"/>
      <c r="P22" s="5"/>
      <c r="Q22" s="5"/>
      <c r="R22" s="5"/>
      <c r="S22" s="5"/>
      <c r="T22" s="5"/>
      <c r="U22" s="5"/>
      <c r="V22" s="5"/>
      <c r="W22" s="5"/>
      <c r="X22" s="5"/>
      <c r="Y22" s="5"/>
      <c r="Z22" s="5"/>
      <c r="AA22" s="5"/>
      <c r="AB22" s="5"/>
      <c r="AC22" s="5"/>
      <c r="AD22" s="5"/>
      <c r="AE22" s="5"/>
      <c r="AF22" s="5"/>
    </row>
    <row r="23" spans="6:32" x14ac:dyDescent="0.4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spans="6:32" x14ac:dyDescent="0.4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spans="6:32" x14ac:dyDescent="0.4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spans="6:32" x14ac:dyDescent="0.4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spans="6:32" x14ac:dyDescent="0.4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spans="6:32" x14ac:dyDescent="0.4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spans="6:32" x14ac:dyDescent="0.4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spans="6:32" x14ac:dyDescent="0.4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spans="6:32" x14ac:dyDescent="0.4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spans="6:32" x14ac:dyDescent="0.4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spans="6:32" x14ac:dyDescent="0.4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spans="6:32" x14ac:dyDescent="0.4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spans="6:32" x14ac:dyDescent="0.4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spans="6:32" x14ac:dyDescent="0.4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spans="6:32" x14ac:dyDescent="0.4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spans="6:32" x14ac:dyDescent="0.4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spans="6:32" x14ac:dyDescent="0.4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spans="6:32" x14ac:dyDescent="0.4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spans="6:32" x14ac:dyDescent="0.4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spans="6:32" x14ac:dyDescent="0.4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spans="6:32" x14ac:dyDescent="0.4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spans="6:32" x14ac:dyDescent="0.4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spans="6:32" x14ac:dyDescent="0.4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spans="6:32" x14ac:dyDescent="0.4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実施状況</vt:lpstr>
      <vt:lpstr>サマリ</vt:lpstr>
      <vt:lpstr>経年比較（前年同じFMT）</vt:lpstr>
      <vt:lpstr>ビジネス基礎（Day5)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直樹 石田</cp:lastModifiedBy>
  <dcterms:created xsi:type="dcterms:W3CDTF">2022-07-12T04:27:24Z</dcterms:created>
  <dcterms:modified xsi:type="dcterms:W3CDTF">2026-08-16T05:06:59Z</dcterms:modified>
</cp:coreProperties>
</file>