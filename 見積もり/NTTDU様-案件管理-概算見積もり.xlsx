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d\Desktop\project_management\見積もり\"/>
    </mc:Choice>
  </mc:AlternateContent>
  <xr:revisionPtr revIDLastSave="0" documentId="13_ncr:1_{A58F81D4-62F2-4F69-AF6A-96067214A316}" xr6:coauthVersionLast="47" xr6:coauthVersionMax="47" xr10:uidLastSave="{00000000-0000-0000-0000-000000000000}"/>
  <bookViews>
    <workbookView xWindow="-108" yWindow="-108" windowWidth="23256" windowHeight="12456" xr2:uid="{15EF4DE1-B99D-4880-9633-29B1123E0732}"/>
  </bookViews>
  <sheets>
    <sheet name="新入社員研修" sheetId="4" r:id="rId1"/>
    <sheet name="案件企画・講師アサイン" sheetId="2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E8" i="2"/>
  <c r="E16" i="2"/>
  <c r="E15" i="2"/>
  <c r="E10" i="2"/>
  <c r="E19" i="2"/>
  <c r="E18" i="2"/>
  <c r="E17" i="2"/>
  <c r="E23" i="2" l="1"/>
  <c r="E24" i="2" s="1"/>
</calcChain>
</file>

<file path=xl/sharedStrings.xml><?xml version="1.0" encoding="utf-8"?>
<sst xmlns="http://schemas.openxmlformats.org/spreadsheetml/2006/main" count="628" uniqueCount="165">
  <si>
    <t>備考</t>
    <rPh sb="0" eb="2">
      <t>ビコウ</t>
    </rPh>
    <phoneticPr fontId="1"/>
  </si>
  <si>
    <t>工数（人日）</t>
    <rPh sb="0" eb="2">
      <t>コウスウ</t>
    </rPh>
    <rPh sb="3" eb="5">
      <t>ニンニチ</t>
    </rPh>
    <phoneticPr fontId="1"/>
  </si>
  <si>
    <t>項目名</t>
    <rPh sb="0" eb="2">
      <t>コウモク</t>
    </rPh>
    <rPh sb="2" eb="3">
      <t>メイ</t>
    </rPh>
    <phoneticPr fontId="1"/>
  </si>
  <si>
    <t>演習</t>
    <rPh sb="0" eb="2">
      <t>エンシュウ</t>
    </rPh>
    <phoneticPr fontId="1"/>
  </si>
  <si>
    <t>AIインストラクション</t>
    <phoneticPr fontId="1"/>
  </si>
  <si>
    <t>全体</t>
    <rPh sb="0" eb="2">
      <t>ゼンタイ</t>
    </rPh>
    <phoneticPr fontId="1"/>
  </si>
  <si>
    <t>運用検討</t>
    <rPh sb="0" eb="2">
      <t>ウンヨウ</t>
    </rPh>
    <rPh sb="2" eb="4">
      <t>ケントウ</t>
    </rPh>
    <phoneticPr fontId="1"/>
  </si>
  <si>
    <t>誤植対応</t>
    <rPh sb="0" eb="2">
      <t>ゴショク</t>
    </rPh>
    <rPh sb="2" eb="4">
      <t>タイオウ</t>
    </rPh>
    <phoneticPr fontId="1"/>
  </si>
  <si>
    <t>Track構築</t>
    <phoneticPr fontId="1"/>
  </si>
  <si>
    <t>地域</t>
    <rPh sb="0" eb="2">
      <t>チイキ</t>
    </rPh>
    <phoneticPr fontId="1"/>
  </si>
  <si>
    <t>金融</t>
    <rPh sb="0" eb="2">
      <t>キンユウ</t>
    </rPh>
    <phoneticPr fontId="1"/>
  </si>
  <si>
    <t>ユニバクラウド</t>
    <phoneticPr fontId="1"/>
  </si>
  <si>
    <t>PCマスタ構築</t>
    <rPh sb="5" eb="7">
      <t>コウチク</t>
    </rPh>
    <phoneticPr fontId="1"/>
  </si>
  <si>
    <t>テキスト</t>
    <phoneticPr fontId="1"/>
  </si>
  <si>
    <t>章テスト</t>
    <rPh sb="0" eb="1">
      <t>ショウ</t>
    </rPh>
    <phoneticPr fontId="1"/>
  </si>
  <si>
    <t>IG制作</t>
    <rPh sb="2" eb="4">
      <t>セイサク</t>
    </rPh>
    <phoneticPr fontId="1"/>
  </si>
  <si>
    <t>環境の構築
テストの実行</t>
    <rPh sb="0" eb="2">
      <t>カンキョウ</t>
    </rPh>
    <rPh sb="3" eb="5">
      <t>コウチク</t>
    </rPh>
    <rPh sb="10" eb="12">
      <t>ジッコウ</t>
    </rPh>
    <phoneticPr fontId="1"/>
  </si>
  <si>
    <t>中間テスト</t>
    <rPh sb="0" eb="2">
      <t>チュウカン</t>
    </rPh>
    <phoneticPr fontId="1"/>
  </si>
  <si>
    <t>テキスト（確認問題含む）</t>
    <rPh sb="5" eb="9">
      <t>カクニンモンダイ</t>
    </rPh>
    <rPh sb="9" eb="10">
      <t>フク</t>
    </rPh>
    <phoneticPr fontId="1"/>
  </si>
  <si>
    <t>修了判定テスト</t>
    <rPh sb="0" eb="4">
      <t>シュウリョウハンテイ</t>
    </rPh>
    <phoneticPr fontId="1"/>
  </si>
  <si>
    <t>製本作業（原本→PDF）</t>
    <rPh sb="0" eb="2">
      <t>セイホン</t>
    </rPh>
    <rPh sb="2" eb="4">
      <t>サギョウ</t>
    </rPh>
    <rPh sb="5" eb="7">
      <t>ゲンポン</t>
    </rPh>
    <phoneticPr fontId="1"/>
  </si>
  <si>
    <t>学習の手引きの修正</t>
    <rPh sb="0" eb="2">
      <t>ガクシュウ</t>
    </rPh>
    <rPh sb="3" eb="5">
      <t>テビ</t>
    </rPh>
    <rPh sb="7" eb="9">
      <t>シュウセイ</t>
    </rPh>
    <phoneticPr fontId="1"/>
  </si>
  <si>
    <t>カリキュラム毎の演習教材（問題と解答プロンプト）
※レベル分けなし</t>
    <rPh sb="6" eb="7">
      <t>ゴト</t>
    </rPh>
    <rPh sb="8" eb="10">
      <t>エンシュウ</t>
    </rPh>
    <rPh sb="10" eb="12">
      <t>キョウザイ</t>
    </rPh>
    <rPh sb="13" eb="15">
      <t>モンダイ</t>
    </rPh>
    <rPh sb="16" eb="18">
      <t>カイトウ</t>
    </rPh>
    <rPh sb="29" eb="30">
      <t>ワ</t>
    </rPh>
    <phoneticPr fontId="1"/>
  </si>
  <si>
    <t>テーマ毎の演習教材（問題と解説）
※レベル分けなし</t>
    <rPh sb="3" eb="4">
      <t>ゴト</t>
    </rPh>
    <rPh sb="5" eb="7">
      <t>エンシュウ</t>
    </rPh>
    <rPh sb="7" eb="9">
      <t>キョウザイ</t>
    </rPh>
    <rPh sb="10" eb="12">
      <t>モンダイ</t>
    </rPh>
    <rPh sb="13" eb="15">
      <t>カイセツ</t>
    </rPh>
    <rPh sb="21" eb="22">
      <t>ワ</t>
    </rPh>
    <phoneticPr fontId="1"/>
  </si>
  <si>
    <t>■初級（6個）
・データベース技術入門
・Web技術入門
・アルゴリズム入門
・Servlet／JSPプログラミング
・JDBCプログラミング
・MVCプログラミング
■一般（10個）
・データベース技術入門
・Web技術入門
・アルゴリズム入門
・プログラミング言語入門
・オブジェクト指向プログラミング
・Servlet／JSPプログラミング
・JDBCプログラミング
・MVCプログラミング
・開発プロセス
・サービスデザイン</t>
    <rPh sb="5" eb="6">
      <t>コ</t>
    </rPh>
    <phoneticPr fontId="1"/>
  </si>
  <si>
    <t>■共通（２個）
・Java基礎
・Java応用</t>
    <rPh sb="1" eb="3">
      <t>キョウツウ</t>
    </rPh>
    <rPh sb="5" eb="6">
      <t>コ</t>
    </rPh>
    <rPh sb="13" eb="15">
      <t>キソ</t>
    </rPh>
    <rPh sb="21" eb="23">
      <t>オウヨウ</t>
    </rPh>
    <phoneticPr fontId="1"/>
  </si>
  <si>
    <t>・コピーライト修正
※昨年度と同様</t>
    <rPh sb="7" eb="9">
      <t>シュウセイ</t>
    </rPh>
    <rPh sb="11" eb="14">
      <t>サクネンド</t>
    </rPh>
    <rPh sb="15" eb="17">
      <t>ドウヨウ</t>
    </rPh>
    <phoneticPr fontId="1"/>
  </si>
  <si>
    <t>初日の説明資材の修正</t>
    <rPh sb="0" eb="2">
      <t>ショニチ</t>
    </rPh>
    <rPh sb="3" eb="5">
      <t>セツメイ</t>
    </rPh>
    <rPh sb="5" eb="7">
      <t>シザイ</t>
    </rPh>
    <rPh sb="8" eb="10">
      <t>シュウセイ</t>
    </rPh>
    <phoneticPr fontId="1"/>
  </si>
  <si>
    <t>方針検討</t>
    <rPh sb="0" eb="2">
      <t>ホウシン</t>
    </rPh>
    <rPh sb="2" eb="4">
      <t>ケントウ</t>
    </rPh>
    <phoneticPr fontId="1"/>
  </si>
  <si>
    <t>資材の精査</t>
    <rPh sb="0" eb="2">
      <t>シザイ</t>
    </rPh>
    <rPh sb="3" eb="5">
      <t>セイサ</t>
    </rPh>
    <phoneticPr fontId="1"/>
  </si>
  <si>
    <t>研修運用</t>
    <rPh sb="0" eb="2">
      <t>ケンシュウ</t>
    </rPh>
    <rPh sb="2" eb="4">
      <t>ウンヨウ</t>
    </rPh>
    <phoneticPr fontId="1"/>
  </si>
  <si>
    <t>グループワーク</t>
    <phoneticPr fontId="1"/>
  </si>
  <si>
    <t>※去年と同様の工数（240時間）にしています。</t>
    <rPh sb="13" eb="15">
      <t>ジカン</t>
    </rPh>
    <phoneticPr fontId="1"/>
  </si>
  <si>
    <t>実機（現地作業含む）</t>
    <rPh sb="0" eb="2">
      <t>ジッキ</t>
    </rPh>
    <rPh sb="3" eb="5">
      <t>ゲンチ</t>
    </rPh>
    <rPh sb="5" eb="7">
      <t>サギョウ</t>
    </rPh>
    <rPh sb="7" eb="8">
      <t>フク</t>
    </rPh>
    <phoneticPr fontId="1"/>
  </si>
  <si>
    <t>講師説明会支援</t>
    <rPh sb="0" eb="2">
      <t>コウシ</t>
    </rPh>
    <rPh sb="2" eb="5">
      <t>セツメイカイ</t>
    </rPh>
    <rPh sb="5" eb="7">
      <t>シエン</t>
    </rPh>
    <phoneticPr fontId="1"/>
  </si>
  <si>
    <t>※1個：2人日</t>
    <rPh sb="2" eb="3">
      <t>コ</t>
    </rPh>
    <rPh sb="5" eb="6">
      <t>ニン</t>
    </rPh>
    <rPh sb="6" eb="7">
      <t>ニチ</t>
    </rPh>
    <phoneticPr fontId="1"/>
  </si>
  <si>
    <t>※1個：0.5人日</t>
    <rPh sb="2" eb="3">
      <t>コ</t>
    </rPh>
    <rPh sb="7" eb="8">
      <t>ニン</t>
    </rPh>
    <rPh sb="8" eb="9">
      <t>ニチ</t>
    </rPh>
    <phoneticPr fontId="1"/>
  </si>
  <si>
    <t>■初級（4個）
・データベース技術入門
・Web技術入門
・アルゴリズム入門
・Java応用
■一般（８個）
・社会を支えるITサービス
・データベース技術入門
・Web技術入門
・アルゴリズム入門
・Java基礎
・Java応用
・開発プロセス
・サービスデザイン</t>
    <rPh sb="5" eb="6">
      <t>コ</t>
    </rPh>
    <rPh sb="44" eb="46">
      <t>オウヨウ</t>
    </rPh>
    <rPh sb="106" eb="108">
      <t>キソ</t>
    </rPh>
    <rPh sb="114" eb="116">
      <t>オウヨウ</t>
    </rPh>
    <phoneticPr fontId="1"/>
  </si>
  <si>
    <t>プロンプトの利用方法用の作成
※各カリキュラムで実施するAI演習の補足資材となる</t>
    <rPh sb="10" eb="11">
      <t>ヨウ</t>
    </rPh>
    <rPh sb="12" eb="14">
      <t>サクセイ</t>
    </rPh>
    <rPh sb="16" eb="17">
      <t>カク</t>
    </rPh>
    <rPh sb="24" eb="26">
      <t>ジッシ</t>
    </rPh>
    <rPh sb="30" eb="32">
      <t>エンシュウ</t>
    </rPh>
    <rPh sb="33" eb="35">
      <t>ホソク</t>
    </rPh>
    <rPh sb="35" eb="37">
      <t>シザイ</t>
    </rPh>
    <phoneticPr fontId="1"/>
  </si>
  <si>
    <t>プロンプト
記載方法（マークダウン）
よくあるプロンプトの使い方集（調べる、教えてもらう、検証する　など）
※生成AIに特化した話（UnivTutorのマニュアルではない）</t>
    <rPh sb="6" eb="8">
      <t>キサイ</t>
    </rPh>
    <rPh sb="8" eb="10">
      <t>ホウホウ</t>
    </rPh>
    <rPh sb="29" eb="30">
      <t>ツカ</t>
    </rPh>
    <rPh sb="31" eb="32">
      <t>カタ</t>
    </rPh>
    <rPh sb="32" eb="33">
      <t>シュウ</t>
    </rPh>
    <rPh sb="34" eb="35">
      <t>シラ</t>
    </rPh>
    <rPh sb="38" eb="39">
      <t>オシ</t>
    </rPh>
    <rPh sb="45" eb="47">
      <t>ケンショウ</t>
    </rPh>
    <phoneticPr fontId="1"/>
  </si>
  <si>
    <t>昨年度と同程度の想定です。</t>
    <rPh sb="0" eb="3">
      <t>サクネンド</t>
    </rPh>
    <rPh sb="4" eb="7">
      <t>ドウテイド</t>
    </rPh>
    <rPh sb="8" eb="10">
      <t>ソウテイ</t>
    </rPh>
    <phoneticPr fontId="1"/>
  </si>
  <si>
    <t>テクニカル</t>
    <phoneticPr fontId="1"/>
  </si>
  <si>
    <t>スケジュールの調整
AI導入の変更
グループワーク導入の変更
日程調整の変更</t>
    <rPh sb="7" eb="9">
      <t>チョウセイ</t>
    </rPh>
    <rPh sb="12" eb="14">
      <t>ドウニュウ</t>
    </rPh>
    <rPh sb="15" eb="17">
      <t>ヘンコウ</t>
    </rPh>
    <rPh sb="25" eb="27">
      <t>ドウニュウ</t>
    </rPh>
    <rPh sb="28" eb="30">
      <t>ヘンコウ</t>
    </rPh>
    <rPh sb="31" eb="33">
      <t>ニッテイ</t>
    </rPh>
    <rPh sb="33" eb="35">
      <t>チョウセイ</t>
    </rPh>
    <rPh sb="36" eb="38">
      <t>ヘンコウ</t>
    </rPh>
    <phoneticPr fontId="1"/>
  </si>
  <si>
    <t>グループ共催</t>
    <rPh sb="4" eb="6">
      <t>キョウサイ</t>
    </rPh>
    <phoneticPr fontId="1"/>
  </si>
  <si>
    <t>誤植の対応
環境の構築
テストの実行
運用系のショートカット</t>
    <rPh sb="0" eb="2">
      <t>ゴショク</t>
    </rPh>
    <rPh sb="3" eb="5">
      <t>タイオウ</t>
    </rPh>
    <rPh sb="6" eb="8">
      <t>カンキョウ</t>
    </rPh>
    <rPh sb="9" eb="11">
      <t>コウチク</t>
    </rPh>
    <rPh sb="16" eb="18">
      <t>ジッコウ</t>
    </rPh>
    <rPh sb="19" eb="21">
      <t>ウンヨウ</t>
    </rPh>
    <rPh sb="21" eb="22">
      <t>ケイ</t>
    </rPh>
    <phoneticPr fontId="1"/>
  </si>
  <si>
    <t>※1個：1.5人日</t>
    <rPh sb="2" eb="3">
      <t>コ</t>
    </rPh>
    <rPh sb="7" eb="8">
      <t>ニン</t>
    </rPh>
    <rPh sb="8" eb="9">
      <t>ニチ</t>
    </rPh>
    <phoneticPr fontId="1"/>
  </si>
  <si>
    <t>■カリキュラム一覧
・データベース技術入門：1
・Web技術入門：1
・アルゴリズム入門：1
・プログラミング言語入門：1
・オブジェクト指向プログラミング：1
・Servlet／JSPプログラミング：1
・JDBCプログラミング：1
・テクニカル総合演習/システム開発演習：2
・サービスデザイン：1</t>
    <rPh sb="7" eb="9">
      <t>イチラン</t>
    </rPh>
    <phoneticPr fontId="1"/>
  </si>
  <si>
    <t>■カリキュラム一覧
・Web技術入門：1
・アルゴリズム入門：2
・プログラミング言語入門：3
・オブジェクト指向プログラミング：3
・JDBCプログラミング：3
・Servlet／JSPプログラミング/MVCプログラミング：6</t>
    <rPh sb="7" eb="9">
      <t>イチラン</t>
    </rPh>
    <phoneticPr fontId="1"/>
  </si>
  <si>
    <t>※1個：6人日（動画あり）</t>
    <phoneticPr fontId="1"/>
  </si>
  <si>
    <t>カテゴリ</t>
    <phoneticPr fontId="1"/>
  </si>
  <si>
    <t>教材準備</t>
  </si>
  <si>
    <t>教材準備</t>
    <rPh sb="0" eb="2">
      <t>キョウザイ</t>
    </rPh>
    <rPh sb="2" eb="4">
      <t>ジュンビ</t>
    </rPh>
    <phoneticPr fontId="1"/>
  </si>
  <si>
    <t>パルスサーベイ</t>
  </si>
  <si>
    <t>業務日誌</t>
    <rPh sb="0" eb="4">
      <t>ギョウムニッシ</t>
    </rPh>
    <phoneticPr fontId="1"/>
  </si>
  <si>
    <t>勤怠管理</t>
    <rPh sb="0" eb="2">
      <t>キンタイ</t>
    </rPh>
    <rPh sb="2" eb="4">
      <t>カンリ</t>
    </rPh>
    <phoneticPr fontId="1"/>
  </si>
  <si>
    <t>アンケート</t>
    <phoneticPr fontId="1"/>
  </si>
  <si>
    <t>工程</t>
    <rPh sb="0" eb="2">
      <t>コウテイ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</si>
  <si>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</si>
  <si>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</si>
  <si>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製造</t>
    <rPh sb="0" eb="2">
      <t>セイゾウ</t>
    </rPh>
    <phoneticPr fontId="1"/>
  </si>
  <si>
    <t>リリース</t>
    <phoneticPr fontId="1"/>
  </si>
  <si>
    <t>ドキュメント</t>
    <phoneticPr fontId="1"/>
  </si>
  <si>
    <t>業務フロー図
要件一覧</t>
    <rPh sb="7" eb="9">
      <t>ヨウケン</t>
    </rPh>
    <phoneticPr fontId="1"/>
  </si>
  <si>
    <t>機能一覧
アーキテクチャ設計
データ設計
画面設計
処理フロー</t>
    <rPh sb="0" eb="4">
      <t>キノウイチラン</t>
    </rPh>
    <rPh sb="12" eb="14">
      <t>セッケイ</t>
    </rPh>
    <rPh sb="21" eb="23">
      <t>ガメン</t>
    </rPh>
    <rPh sb="23" eb="25">
      <t>セッケイ</t>
    </rPh>
    <rPh sb="26" eb="28">
      <t>ショリ</t>
    </rPh>
    <phoneticPr fontId="1"/>
  </si>
  <si>
    <t>なし</t>
    <phoneticPr fontId="1"/>
  </si>
  <si>
    <t>プログラム</t>
    <phoneticPr fontId="1"/>
  </si>
  <si>
    <t>要望</t>
    <rPh sb="0" eb="2">
      <t>ヨウボウ</t>
    </rPh>
    <phoneticPr fontId="1"/>
  </si>
  <si>
    <t>要件定義</t>
    <rPh sb="0" eb="2">
      <t>ヨウケン</t>
    </rPh>
    <rPh sb="2" eb="4">
      <t>テイギ</t>
    </rPh>
    <phoneticPr fontId="1"/>
  </si>
  <si>
    <t>業務分析</t>
    <rPh sb="0" eb="2">
      <t>ギョウム</t>
    </rPh>
    <rPh sb="2" eb="4">
      <t>ブンセキ</t>
    </rPh>
    <phoneticPr fontId="1"/>
  </si>
  <si>
    <t>以下の流れを確認する。
実施～集計～共有～フィードバック</t>
    <rPh sb="12" eb="14">
      <t>ジッシ</t>
    </rPh>
    <rPh sb="15" eb="17">
      <t>シュウケイ</t>
    </rPh>
    <rPh sb="18" eb="20">
      <t>キョウユウ</t>
    </rPh>
    <phoneticPr fontId="1"/>
  </si>
  <si>
    <t>以下の流れを確認する。
実施～集計～督促～再集計～共有～レポート化</t>
    <phoneticPr fontId="1"/>
  </si>
  <si>
    <t>以下の流れを確認する。
実施～集計～督促～再集計～共有～フィードバック</t>
    <rPh sb="12" eb="14">
      <t>ジッシ</t>
    </rPh>
    <rPh sb="18" eb="20">
      <t>トクソク</t>
    </rPh>
    <rPh sb="21" eb="22">
      <t>サイ</t>
    </rPh>
    <rPh sb="22" eb="24">
      <t>シュウケイ</t>
    </rPh>
    <rPh sb="25" eb="27">
      <t>キョウユウ</t>
    </rPh>
    <phoneticPr fontId="1"/>
  </si>
  <si>
    <t>〇</t>
    <phoneticPr fontId="1"/>
  </si>
  <si>
    <t>必要性</t>
    <rPh sb="0" eb="3">
      <t>ヒツヨウセイ</t>
    </rPh>
    <phoneticPr fontId="1"/>
  </si>
  <si>
    <t>現状の確認</t>
    <phoneticPr fontId="1"/>
  </si>
  <si>
    <t>コンポーネント設計書
API設計書（プログラムからリバースするかも）</t>
    <rPh sb="7" eb="10">
      <t>セッケイショ</t>
    </rPh>
    <rPh sb="14" eb="17">
      <t>セッケイショ</t>
    </rPh>
    <phoneticPr fontId="1"/>
  </si>
  <si>
    <t>実作業
環境構築手順書
デプロイ手順書
リリース手順書
リリース後確認手順書
マニュアル</t>
    <rPh sb="16" eb="19">
      <t>テジュンショ</t>
    </rPh>
    <rPh sb="24" eb="27">
      <t>テジュンショ</t>
    </rPh>
    <phoneticPr fontId="1"/>
  </si>
  <si>
    <t>本番環境構築
環境構築手順書
デプロイ手順書
リリース手順書
リリース後確認手順書
マニュアル</t>
    <rPh sb="0" eb="2">
      <t>ホンバン</t>
    </rPh>
    <rPh sb="2" eb="4">
      <t>カンキョウ</t>
    </rPh>
    <rPh sb="4" eb="6">
      <t>コウチク</t>
    </rPh>
    <rPh sb="19" eb="22">
      <t>テジュンショ</t>
    </rPh>
    <rPh sb="27" eb="30">
      <t>テジュンショ</t>
    </rPh>
    <phoneticPr fontId="1"/>
  </si>
  <si>
    <t>単体テスト</t>
    <rPh sb="0" eb="2">
      <t>タンタイ</t>
    </rPh>
    <phoneticPr fontId="1"/>
  </si>
  <si>
    <t>テスト仕様書
テストコード
テスト結果</t>
    <rPh sb="3" eb="6">
      <t>シヨウショ</t>
    </rPh>
    <phoneticPr fontId="1"/>
  </si>
  <si>
    <t>単体テスト仕様書
テストコード
単体テスト結果</t>
    <rPh sb="0" eb="2">
      <t>タンタイ</t>
    </rPh>
    <rPh sb="5" eb="8">
      <t>シヨウショ</t>
    </rPh>
    <rPh sb="16" eb="18">
      <t>タンタイ</t>
    </rPh>
    <phoneticPr fontId="1"/>
  </si>
  <si>
    <t>結合テスト</t>
    <rPh sb="0" eb="2">
      <t>ケツゴウ</t>
    </rPh>
    <phoneticPr fontId="1"/>
  </si>
  <si>
    <t>テスト仕様書
テスト結果</t>
    <rPh sb="3" eb="6">
      <t>シヨウショ</t>
    </rPh>
    <rPh sb="10" eb="12">
      <t>ケッカ</t>
    </rPh>
    <phoneticPr fontId="1"/>
  </si>
  <si>
    <t>結合テスト仕様書（イベントテスト）
結合テスト結果</t>
    <rPh sb="0" eb="2">
      <t>ケツゴウ</t>
    </rPh>
    <rPh sb="5" eb="8">
      <t>シヨウショ</t>
    </rPh>
    <rPh sb="18" eb="20">
      <t>ケツゴウ</t>
    </rPh>
    <rPh sb="23" eb="25">
      <t>ケッカ</t>
    </rPh>
    <phoneticPr fontId="1"/>
  </si>
  <si>
    <t>受入テスト</t>
    <rPh sb="0" eb="2">
      <t>ウケイレ</t>
    </rPh>
    <phoneticPr fontId="1"/>
  </si>
  <si>
    <t>テスト環境構築
テスト仕様書
テスト結果</t>
    <rPh sb="11" eb="14">
      <t>シヨウショ</t>
    </rPh>
    <rPh sb="18" eb="20">
      <t>ケッカ</t>
    </rPh>
    <phoneticPr fontId="1"/>
  </si>
  <si>
    <t>マスター（年度別）の確認</t>
    <rPh sb="5" eb="7">
      <t>ネンド</t>
    </rPh>
    <rPh sb="7" eb="8">
      <t>ベツ</t>
    </rPh>
    <rPh sb="10" eb="12">
      <t>カクニン</t>
    </rPh>
    <phoneticPr fontId="1"/>
  </si>
  <si>
    <t>教材準備(kintone)</t>
    <rPh sb="0" eb="2">
      <t>キョウザイ</t>
    </rPh>
    <rPh sb="2" eb="4">
      <t>ジュンビ</t>
    </rPh>
    <phoneticPr fontId="1"/>
  </si>
  <si>
    <t>教材準備(Track)</t>
    <rPh sb="0" eb="2">
      <t>キョウザイ</t>
    </rPh>
    <rPh sb="2" eb="4">
      <t>ジュンビ</t>
    </rPh>
    <phoneticPr fontId="1"/>
  </si>
  <si>
    <t>マテリアルのデプロイ</t>
    <phoneticPr fontId="1"/>
  </si>
  <si>
    <t>マテリアルの管理</t>
    <rPh sb="6" eb="8">
      <t>カンリ</t>
    </rPh>
    <phoneticPr fontId="1"/>
  </si>
  <si>
    <t>マテリアルの作成</t>
    <rPh sb="6" eb="8">
      <t>サクセイ</t>
    </rPh>
    <phoneticPr fontId="1"/>
  </si>
  <si>
    <t>マテリアルの確認</t>
    <rPh sb="6" eb="8">
      <t>カクニン</t>
    </rPh>
    <phoneticPr fontId="1"/>
  </si>
  <si>
    <t>以下の流れを確認する。
マテリアルの管理～マテリアルの作成～マテリアルの確認～マテリアルのデプロイ～マテリアルのデプロイ後の確認</t>
    <rPh sb="0" eb="2">
      <t>イカ</t>
    </rPh>
    <rPh sb="3" eb="4">
      <t>ナガ</t>
    </rPh>
    <rPh sb="6" eb="8">
      <t>カクニン</t>
    </rPh>
    <rPh sb="18" eb="20">
      <t>カンリ</t>
    </rPh>
    <rPh sb="27" eb="29">
      <t>サクセイ</t>
    </rPh>
    <rPh sb="60" eb="61">
      <t>ゴ</t>
    </rPh>
    <rPh sb="62" eb="64">
      <t>カクニン</t>
    </rPh>
    <phoneticPr fontId="1"/>
  </si>
  <si>
    <t>マテリアルのデプロイ後の確認</t>
    <phoneticPr fontId="1"/>
  </si>
  <si>
    <t>以下の流れを確認する。
教材の管理～コース別データの作成～コース別データの確認</t>
    <rPh sb="0" eb="2">
      <t>イカ</t>
    </rPh>
    <rPh sb="3" eb="4">
      <t>ナガ</t>
    </rPh>
    <rPh sb="6" eb="8">
      <t>カクニン</t>
    </rPh>
    <rPh sb="21" eb="22">
      <t>ベツ</t>
    </rPh>
    <phoneticPr fontId="1"/>
  </si>
  <si>
    <t>教材の管理</t>
    <rPh sb="0" eb="2">
      <t>キョウザイ</t>
    </rPh>
    <rPh sb="3" eb="5">
      <t>カンリ</t>
    </rPh>
    <phoneticPr fontId="1"/>
  </si>
  <si>
    <t>コース別データの作成</t>
    <rPh sb="3" eb="4">
      <t>ベツ</t>
    </rPh>
    <rPh sb="8" eb="10">
      <t>サクセイ</t>
    </rPh>
    <phoneticPr fontId="1"/>
  </si>
  <si>
    <t>コース別データの確認</t>
    <rPh sb="3" eb="4">
      <t>ベツ</t>
    </rPh>
    <rPh sb="8" eb="10">
      <t>カクニン</t>
    </rPh>
    <phoneticPr fontId="1"/>
  </si>
  <si>
    <t>以下の流れを確認する。
マスター（年度別）の作成～マスター（年度別）の確認～クラス（年度別）の作成～クラス（年度別）の確認
ユーザー（年度別）の作成～ユーザー（年度別）の確認</t>
    <rPh sb="22" eb="24">
      <t>サクセイ</t>
    </rPh>
    <rPh sb="35" eb="37">
      <t>カクニン</t>
    </rPh>
    <rPh sb="42" eb="45">
      <t>ネンドベツ</t>
    </rPh>
    <rPh sb="47" eb="49">
      <t>サクセイ</t>
    </rPh>
    <rPh sb="59" eb="61">
      <t>カクニン</t>
    </rPh>
    <phoneticPr fontId="1"/>
  </si>
  <si>
    <t>マスター（年度別）の作成</t>
    <rPh sb="5" eb="7">
      <t>ネンド</t>
    </rPh>
    <rPh sb="7" eb="8">
      <t>ベツ</t>
    </rPh>
    <rPh sb="10" eb="12">
      <t>サクセイ</t>
    </rPh>
    <phoneticPr fontId="1"/>
  </si>
  <si>
    <t>クラス（年度別）の作成</t>
    <rPh sb="4" eb="6">
      <t>ネンド</t>
    </rPh>
    <rPh sb="6" eb="7">
      <t>ベツ</t>
    </rPh>
    <rPh sb="9" eb="11">
      <t>サクセイ</t>
    </rPh>
    <phoneticPr fontId="1"/>
  </si>
  <si>
    <t>クラス（年度別）の確認</t>
    <rPh sb="4" eb="6">
      <t>ネンド</t>
    </rPh>
    <rPh sb="6" eb="7">
      <t>ベツ</t>
    </rPh>
    <rPh sb="9" eb="11">
      <t>カクニン</t>
    </rPh>
    <phoneticPr fontId="1"/>
  </si>
  <si>
    <t>ユーザー（年度別）の作成</t>
    <rPh sb="5" eb="7">
      <t>ネンド</t>
    </rPh>
    <rPh sb="7" eb="8">
      <t>ベツ</t>
    </rPh>
    <rPh sb="10" eb="12">
      <t>サクセイ</t>
    </rPh>
    <phoneticPr fontId="1"/>
  </si>
  <si>
    <t>ユーザー（年度別）の確認</t>
    <rPh sb="5" eb="7">
      <t>ネンド</t>
    </rPh>
    <rPh sb="7" eb="8">
      <t>ベツ</t>
    </rPh>
    <rPh sb="10" eb="12">
      <t>カクニン</t>
    </rPh>
    <phoneticPr fontId="1"/>
  </si>
  <si>
    <t>環境構築（Track）</t>
    <rPh sb="0" eb="4">
      <t>カンキョウコウチク</t>
    </rPh>
    <phoneticPr fontId="1"/>
  </si>
  <si>
    <t>環境構築（kintone）</t>
    <rPh sb="0" eb="4">
      <t>カンキョウコウチク</t>
    </rPh>
    <phoneticPr fontId="1"/>
  </si>
  <si>
    <t>テンプレートの作成</t>
    <rPh sb="7" eb="9">
      <t>サクセイ</t>
    </rPh>
    <phoneticPr fontId="1"/>
  </si>
  <si>
    <t>テンプレートの確認</t>
    <rPh sb="7" eb="9">
      <t>カクニン</t>
    </rPh>
    <phoneticPr fontId="1"/>
  </si>
  <si>
    <t>スペース（年度別）の作成</t>
    <rPh sb="5" eb="7">
      <t>ネンド</t>
    </rPh>
    <rPh sb="7" eb="8">
      <t>ベツ</t>
    </rPh>
    <rPh sb="10" eb="12">
      <t>サクセイ</t>
    </rPh>
    <phoneticPr fontId="1"/>
  </si>
  <si>
    <t>スペース（年度別）の確認</t>
    <rPh sb="5" eb="7">
      <t>ネンド</t>
    </rPh>
    <rPh sb="7" eb="8">
      <t>ベツ</t>
    </rPh>
    <rPh sb="10" eb="12">
      <t>カクニン</t>
    </rPh>
    <phoneticPr fontId="1"/>
  </si>
  <si>
    <t>以下の流れを確認する。
テンプレートの作成～テンプレートの確認
スペース（年度別）の作成～スペース（年度別）の確認
コース別データのデプロイ～コース別データの確認
ユーザー（年度別）の作成～ユーザー（年度別）の確認</t>
    <rPh sb="19" eb="20">
      <t>サク</t>
    </rPh>
    <rPh sb="35" eb="38">
      <t>ネンドベツ</t>
    </rPh>
    <rPh sb="61" eb="62">
      <t>ベツ</t>
    </rPh>
    <rPh sb="69" eb="71">
      <t>キョウザイ</t>
    </rPh>
    <phoneticPr fontId="1"/>
  </si>
  <si>
    <t>コース別データのデプロイ</t>
    <phoneticPr fontId="1"/>
  </si>
  <si>
    <t>コース別データの確認</t>
    <rPh sb="8" eb="10">
      <t>カクニン</t>
    </rPh>
    <phoneticPr fontId="1"/>
  </si>
  <si>
    <t>実施</t>
    <rPh sb="0" eb="2">
      <t>ジッシ</t>
    </rPh>
    <phoneticPr fontId="1"/>
  </si>
  <si>
    <t>集計</t>
    <rPh sb="0" eb="2">
      <t>シュウケイ</t>
    </rPh>
    <phoneticPr fontId="1"/>
  </si>
  <si>
    <t>共有</t>
    <rPh sb="0" eb="2">
      <t>キョウユウ</t>
    </rPh>
    <phoneticPr fontId="1"/>
  </si>
  <si>
    <t>フィードバック</t>
    <phoneticPr fontId="1"/>
  </si>
  <si>
    <t>以下の流れを検討する。
# 検討対象
・フィードバックの整理
# 成果物
　なし？</t>
    <rPh sb="0" eb="2">
      <t>イカ</t>
    </rPh>
    <rPh sb="3" eb="4">
      <t>ナガ</t>
    </rPh>
    <rPh sb="6" eb="8">
      <t>ケントウ</t>
    </rPh>
    <rPh sb="28" eb="30">
      <t>セイリ</t>
    </rPh>
    <phoneticPr fontId="1"/>
  </si>
  <si>
    <t>以下の流れを検討する。
# 検討対象
・共有方法の整理
# 成果物
　なし？</t>
    <rPh sb="0" eb="2">
      <t>イカ</t>
    </rPh>
    <rPh sb="3" eb="4">
      <t>ナガ</t>
    </rPh>
    <rPh sb="6" eb="8">
      <t>ケントウ</t>
    </rPh>
    <rPh sb="20" eb="22">
      <t>キョウユウ</t>
    </rPh>
    <rPh sb="22" eb="24">
      <t>ホウホウ</t>
    </rPh>
    <rPh sb="25" eb="27">
      <t>セイリ</t>
    </rPh>
    <phoneticPr fontId="1"/>
  </si>
  <si>
    <t>以下の流れを検討する。
# 検討対象
・実施
# 成果物
　なし</t>
    <rPh sb="0" eb="2">
      <t>イカ</t>
    </rPh>
    <rPh sb="3" eb="4">
      <t>ナガ</t>
    </rPh>
    <rPh sb="6" eb="8">
      <t>ケントウ</t>
    </rPh>
    <rPh sb="20" eb="22">
      <t>ジッシ</t>
    </rPh>
    <phoneticPr fontId="1"/>
  </si>
  <si>
    <t>以下の流れを検討する。
# 検討対象
・ユーザー（年度別）の確認
# 成果物
　簡易的なツール/システム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</si>
  <si>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・ユーザー（年度別）の作成
# 成果物
　簡易的なツール/システム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</si>
  <si>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・コース別データの確認
# 成果物
　なし</t>
    <rPh sb="0" eb="2">
      <t>イカ</t>
    </rPh>
    <rPh sb="3" eb="4">
      <t>ナガ</t>
    </rPh>
    <rPh sb="6" eb="8">
      <t>ケントウ</t>
    </rPh>
    <rPh sb="23" eb="24">
      <t>ベツ</t>
    </rPh>
    <rPh sb="28" eb="30">
      <t>カクニン</t>
    </rPh>
    <phoneticPr fontId="1"/>
  </si>
  <si>
    <t>以下の流れを検討する。
# 検討対象
・コース別データのデプロイ
# 成果物
　なし</t>
    <rPh sb="0" eb="2">
      <t>イカ</t>
    </rPh>
    <rPh sb="3" eb="4">
      <t>ナガ</t>
    </rPh>
    <rPh sb="6" eb="8">
      <t>ケントウ</t>
    </rPh>
    <rPh sb="23" eb="24">
      <t>ベツ</t>
    </rPh>
    <phoneticPr fontId="1"/>
  </si>
  <si>
    <t>以下の流れを検討する。
# 検討対象
・スペースの確認
# 成果物
　簡易的なツール/システム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</si>
  <si>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・スペースの作成
# 成果物
　簡易的なツール/システム</t>
    <rPh sb="0" eb="2">
      <t>イカ</t>
    </rPh>
    <rPh sb="3" eb="4">
      <t>ナガ</t>
    </rPh>
    <rPh sb="6" eb="8">
      <t>ケントウ</t>
    </rPh>
    <rPh sb="25" eb="27">
      <t>サクセイ</t>
    </rPh>
    <phoneticPr fontId="1"/>
  </si>
  <si>
    <t>以下の流れを検討する。
# 検討対象
・テンプレートの確認
# 成果物
　なし</t>
    <rPh sb="0" eb="2">
      <t>イカ</t>
    </rPh>
    <rPh sb="3" eb="4">
      <t>ナガ</t>
    </rPh>
    <rPh sb="6" eb="8">
      <t>ケントウ</t>
    </rPh>
    <rPh sb="27" eb="29">
      <t>カクニン</t>
    </rPh>
    <phoneticPr fontId="1"/>
  </si>
  <si>
    <t>以下の流れを検討する。
# 検討対象
・テンプレートの作成
# 成果物
　なし</t>
    <rPh sb="0" eb="2">
      <t>イカ</t>
    </rPh>
    <rPh sb="3" eb="4">
      <t>ナガ</t>
    </rPh>
    <rPh sb="6" eb="8">
      <t>ケントウ</t>
    </rPh>
    <rPh sb="27" eb="29">
      <t>サクセイ</t>
    </rPh>
    <phoneticPr fontId="1"/>
  </si>
  <si>
    <t>以下の流れを検討する。
# 検討対象
・ユーザー（年度別）の確認
# 成果物
　ツール？（※ギブリー様と相談）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</si>
  <si>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・ユーザー（年度別）の作成
# 成果物
　ツール？（※ギブリー様と相談）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</si>
  <si>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・クラス（年度別）の確認
# 成果物
　ツール？（※ギブリー様と相談）</t>
    <rPh sb="0" eb="2">
      <t>イカ</t>
    </rPh>
    <rPh sb="3" eb="4">
      <t>ナガ</t>
    </rPh>
    <rPh sb="6" eb="8">
      <t>ケントウ</t>
    </rPh>
    <rPh sb="24" eb="27">
      <t>ネンドベツ</t>
    </rPh>
    <phoneticPr fontId="1"/>
  </si>
  <si>
    <t>以下の流れを検討する。
# 検討対象
・クラス（年度別）の作成
# 成果物
　ツール？（※ギブリー様と相談）</t>
    <rPh sb="0" eb="2">
      <t>イカ</t>
    </rPh>
    <rPh sb="3" eb="4">
      <t>ナガ</t>
    </rPh>
    <rPh sb="6" eb="8">
      <t>ケントウ</t>
    </rPh>
    <rPh sb="24" eb="27">
      <t>ネンドベツ</t>
    </rPh>
    <rPh sb="29" eb="31">
      <t>サクセイ</t>
    </rPh>
    <phoneticPr fontId="1"/>
  </si>
  <si>
    <t>以下の流れを検討する。
# 検討対象
・マスター（年度別）の確認
# 成果物
　なし（※ギブリー様と相談）</t>
    <rPh sb="0" eb="2">
      <t>イカ</t>
    </rPh>
    <rPh sb="3" eb="4">
      <t>ナガ</t>
    </rPh>
    <rPh sb="6" eb="8">
      <t>ケントウ</t>
    </rPh>
    <rPh sb="25" eb="28">
      <t>ネンドベツ</t>
    </rPh>
    <phoneticPr fontId="1"/>
  </si>
  <si>
    <t>以下の流れを検討する。
# 検討対象
・マスター（年度別）の作成
# 成果物
　なし（※ギブリー様と相談）</t>
    <rPh sb="0" eb="2">
      <t>イカ</t>
    </rPh>
    <rPh sb="3" eb="4">
      <t>ナガ</t>
    </rPh>
    <rPh sb="6" eb="8">
      <t>ケントウ</t>
    </rPh>
    <rPh sb="25" eb="28">
      <t>ネンドベツ</t>
    </rPh>
    <rPh sb="30" eb="32">
      <t>サクセイ</t>
    </rPh>
    <phoneticPr fontId="1"/>
  </si>
  <si>
    <t>以下の流れを検討する。
# 検討対象
・コース別データの確認
# 成果物
　簡易的なツール/システム</t>
    <rPh sb="0" eb="2">
      <t>イカ</t>
    </rPh>
    <rPh sb="3" eb="4">
      <t>ナガ</t>
    </rPh>
    <rPh sb="6" eb="8">
      <t>ケントウ</t>
    </rPh>
    <rPh sb="28" eb="30">
      <t>カクニン</t>
    </rPh>
    <phoneticPr fontId="1"/>
  </si>
  <si>
    <t>以下の流れを検討する。
# 検討対象
・コース別データの作成
# 成果物
　簡易的なツール/システム</t>
    <rPh sb="0" eb="2">
      <t>イカ</t>
    </rPh>
    <rPh sb="3" eb="4">
      <t>ナガ</t>
    </rPh>
    <rPh sb="6" eb="8">
      <t>ケントウ</t>
    </rPh>
    <rPh sb="28" eb="30">
      <t>サクセイ</t>
    </rPh>
    <phoneticPr fontId="1"/>
  </si>
  <si>
    <t>以下の流れを検討する。
# 検討対象
・教材の管理
# 成果物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2" eb="24">
      <t>カンリ</t>
    </rPh>
    <phoneticPr fontId="1"/>
  </si>
  <si>
    <t>以下の流れを検討する。
# 検討対象
・マテリアルのデプロイ
# 成果物
　なし（※ギブリー様と相談）</t>
    <rPh sb="0" eb="2">
      <t>イカ</t>
    </rPh>
    <rPh sb="3" eb="4">
      <t>ナガ</t>
    </rPh>
    <rPh sb="6" eb="8">
      <t>ケントウ</t>
    </rPh>
    <rPh sb="46" eb="47">
      <t>サマ</t>
    </rPh>
    <rPh sb="48" eb="50">
      <t>ソウダン</t>
    </rPh>
    <phoneticPr fontId="1"/>
  </si>
  <si>
    <t>以下の流れを検討する。
# 検討対象
・マテリアルのデプロイ
# 成果物
　なし（※コンテンツマネージャー、ギブリー様と相談）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</si>
  <si>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・マテリアルの確認
# 成果物
　簡易的なツール/システム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6" eb="28">
      <t>カクニン</t>
    </rPh>
    <phoneticPr fontId="1"/>
  </si>
  <si>
    <t>以下の流れを検討する。
# 検討対象
・マテリアルの作成
# 成果物
　簡易的なツール/システム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phoneticPr fontId="1"/>
  </si>
  <si>
    <t>以下の流れを検討する。
# 検討対象
・マテリアルの管理
# 成果物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5" eb="27">
      <t>カンリ</t>
    </rPh>
    <phoneticPr fontId="1"/>
  </si>
  <si>
    <t>督促</t>
    <rPh sb="0" eb="2">
      <t>トクソク</t>
    </rPh>
    <phoneticPr fontId="1"/>
  </si>
  <si>
    <t>以下の流れを検討する。
# 検討対象
・督促手段や手順の整理
# 成果物
　ツール？</t>
    <phoneticPr fontId="1"/>
  </si>
  <si>
    <t>再集計</t>
    <rPh sb="0" eb="1">
      <t>サイ</t>
    </rPh>
    <rPh sb="1" eb="3">
      <t>シュウケイ</t>
    </rPh>
    <phoneticPr fontId="1"/>
  </si>
  <si>
    <t>対応</t>
    <rPh sb="0" eb="2">
      <t>タイオウ</t>
    </rPh>
    <phoneticPr fontId="1"/>
  </si>
  <si>
    <t>登録</t>
    <rPh sb="0" eb="2">
      <t>トウロク</t>
    </rPh>
    <phoneticPr fontId="1"/>
  </si>
  <si>
    <t>更新</t>
    <rPh sb="0" eb="2">
      <t>コウシン</t>
    </rPh>
    <phoneticPr fontId="1"/>
  </si>
  <si>
    <t>以下の流れを確認する。
対応～登録～共有～更新～再共有</t>
    <rPh sb="12" eb="14">
      <t>トウロク</t>
    </rPh>
    <rPh sb="15" eb="17">
      <t>トウロク</t>
    </rPh>
    <rPh sb="18" eb="20">
      <t>キョウユウ</t>
    </rPh>
    <rPh sb="21" eb="23">
      <t>コウシン</t>
    </rPh>
    <rPh sb="24" eb="25">
      <t>サイ</t>
    </rPh>
    <rPh sb="25" eb="27">
      <t>キョウユウ</t>
    </rPh>
    <phoneticPr fontId="1"/>
  </si>
  <si>
    <t>再共有</t>
    <rPh sb="0" eb="3">
      <t>サイキョウユウ</t>
    </rPh>
    <phoneticPr fontId="1"/>
  </si>
  <si>
    <t>以下の流れを検討する。
# 検討対象
・登録ルール・方法の整理
# 成果物
　簡易的なツール/システム（kintoneアプリ改善）</t>
    <rPh sb="0" eb="2">
      <t>イカ</t>
    </rPh>
    <rPh sb="3" eb="4">
      <t>ナガ</t>
    </rPh>
    <rPh sb="6" eb="8">
      <t>ケントウ</t>
    </rPh>
    <rPh sb="20" eb="22">
      <t>トウロク</t>
    </rPh>
    <rPh sb="26" eb="28">
      <t>ホウホウ</t>
    </rPh>
    <rPh sb="29" eb="31">
      <t>セイリ</t>
    </rPh>
    <rPh sb="34" eb="37">
      <t>セイカブツ</t>
    </rPh>
    <rPh sb="39" eb="41">
      <t>カンイ</t>
    </rPh>
    <rPh sb="70" eb="72">
      <t>カイゼン</t>
    </rPh>
    <phoneticPr fontId="1"/>
  </si>
  <si>
    <t>以下の流れを検討する。
# 検討対象
・対応ルール・方法の整理
・受講生対応（SMS対応）の自動化
# 成果物
　簡易的なツール/システム</t>
    <rPh sb="0" eb="2">
      <t>イカ</t>
    </rPh>
    <rPh sb="3" eb="4">
      <t>ナガ</t>
    </rPh>
    <rPh sb="6" eb="8">
      <t>ケントウ</t>
    </rPh>
    <rPh sb="20" eb="22">
      <t>タイオウ</t>
    </rPh>
    <rPh sb="26" eb="28">
      <t>ホウホウ</t>
    </rPh>
    <rPh sb="29" eb="31">
      <t>セイリ</t>
    </rPh>
    <phoneticPr fontId="1"/>
  </si>
  <si>
    <t>以下の流れを検討する。
# 検討対象
・更新ルール・方法の整理
# 成果物
　なし</t>
    <rPh sb="0" eb="2">
      <t>イカ</t>
    </rPh>
    <rPh sb="3" eb="4">
      <t>ナガ</t>
    </rPh>
    <rPh sb="6" eb="8">
      <t>ケントウ</t>
    </rPh>
    <rPh sb="20" eb="22">
      <t>コウシン</t>
    </rPh>
    <rPh sb="29" eb="31">
      <t>セイリ</t>
    </rPh>
    <phoneticPr fontId="1"/>
  </si>
  <si>
    <t>以下の流れを検討する。
# 検討対象
・再共有ルール・方法の整理
# 成果物
　なし</t>
    <rPh sb="0" eb="2">
      <t>イカ</t>
    </rPh>
    <rPh sb="3" eb="4">
      <t>ナガ</t>
    </rPh>
    <rPh sb="6" eb="8">
      <t>ケントウ</t>
    </rPh>
    <rPh sb="20" eb="23">
      <t>サイキョウユウ</t>
    </rPh>
    <rPh sb="30" eb="32">
      <t>セイリ</t>
    </rPh>
    <phoneticPr fontId="1"/>
  </si>
  <si>
    <t>以下の流れを検討する。
# 検討対象
・共有ルール・方法の整理
# 成果物
　なし</t>
    <rPh sb="0" eb="2">
      <t>イカ</t>
    </rPh>
    <rPh sb="3" eb="4">
      <t>ナガ</t>
    </rPh>
    <rPh sb="6" eb="8">
      <t>ケントウ</t>
    </rPh>
    <rPh sb="20" eb="22">
      <t>キョウユウ</t>
    </rPh>
    <rPh sb="26" eb="28">
      <t>ホウホウ</t>
    </rPh>
    <rPh sb="29" eb="30">
      <t>セイ</t>
    </rPh>
    <phoneticPr fontId="1"/>
  </si>
  <si>
    <t>以下の流れを検討する。
# 検討対象
・集計方法の簡易化
# 成果物
　簡易的なツール/システム（ツール改善）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8">
      <t>カンイカ</t>
    </rPh>
    <rPh sb="52" eb="54">
      <t>カイゼン</t>
    </rPh>
    <phoneticPr fontId="1"/>
  </si>
  <si>
    <t>以下の流れを検討する。
# 検討対象
・集計方法の簡易化
# 成果物
　簡易的なツール/システム（ツール改善）</t>
    <rPh sb="0" eb="2">
      <t>イカ</t>
    </rPh>
    <rPh sb="3" eb="4">
      <t>ナガ</t>
    </rPh>
    <rPh sb="6" eb="8">
      <t>ケントウ</t>
    </rPh>
    <rPh sb="52" eb="54">
      <t>カイゼン</t>
    </rPh>
    <phoneticPr fontId="1"/>
  </si>
  <si>
    <t>以下の流れを検討する。
# 検討対象
・集計方法の単位の整理
・集計方法の簡易化（実施・未実施の判定も含む）
# 成果物
　簡易的なツール/システム（ツール改善）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51" eb="52">
      <t>フク</t>
    </rPh>
    <rPh sb="78" eb="80">
      <t>カイゼン</t>
    </rPh>
    <phoneticPr fontId="1"/>
  </si>
  <si>
    <t>再集計</t>
    <rPh sb="0" eb="3">
      <t>サイシュウケイ</t>
    </rPh>
    <phoneticPr fontId="1"/>
  </si>
  <si>
    <t>以下の流れを検討する。
# 検討対象
・共有ルール・方法の整理
# 成果物
　なし</t>
    <rPh sb="0" eb="2">
      <t>イカ</t>
    </rPh>
    <rPh sb="3" eb="4">
      <t>ナガ</t>
    </rPh>
    <rPh sb="6" eb="8">
      <t>ケントウ</t>
    </rPh>
    <rPh sb="20" eb="22">
      <t>キョウユウ</t>
    </rPh>
    <rPh sb="29" eb="31">
      <t>セイリ</t>
    </rPh>
    <phoneticPr fontId="1"/>
  </si>
  <si>
    <t>レポート化</t>
    <rPh sb="4" eb="5">
      <t>カ</t>
    </rPh>
    <phoneticPr fontId="1"/>
  </si>
  <si>
    <t>以下の流れを検討する。
# 検討対象
・レポート内データの整理
・過去データの管理
# 成果物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phoneticPr fontId="1"/>
  </si>
  <si>
    <t>以下の流れを検討する。
# 検討対象
・集計方法の単位の整理
・集計方法の簡易化（実施・未実施・不合格の判定も含む）
# 成果物
　簡易的なツール/システム（ツール改善）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48" eb="51">
      <t>フゴウカク</t>
    </rPh>
    <rPh sb="55" eb="56">
      <t>フク</t>
    </rPh>
    <rPh sb="82" eb="84">
      <t>カイゼン</t>
    </rPh>
    <phoneticPr fontId="1"/>
  </si>
  <si>
    <t>集計と同様</t>
    <rPh sb="0" eb="2">
      <t>シュウケイ</t>
    </rPh>
    <rPh sb="3" eb="5">
      <t>ドウヨウ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</si>
</sst>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B05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right" vertical="top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/>
    </xf>
    <xf numFmtId="0" fontId="0" fillId="2" borderId="6" xfId="0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C31-7F32-441C-8A86-8C46FCB2408F}">
  <dimension ref="B2:G396"/>
  <sheetViews>
    <sheetView tabSelected="1" workbookViewId="0">
      <pane ySplit="2" topLeftCell="A362" activePane="bottomLeft" state="frozen"/>
      <selection pane="bottomLeft" activeCell="C365" sqref="C365"/>
    </sheetView>
  </sheetViews>
  <sheetFormatPr defaultRowHeight="18" x14ac:dyDescent="0.45"/>
  <cols>
    <col min="1" max="1" width="8.796875" style="1"/>
    <col min="2" max="2" width="16.59765625" style="1" bestFit="1" customWidth="1"/>
    <col min="3" max="3" width="49.5" style="1" bestFit="1" customWidth="1"/>
    <col min="4" max="4" width="10.3984375" style="1" bestFit="1" customWidth="1"/>
    <col min="5" max="5" width="6.796875" style="16" bestFit="1" customWidth="1"/>
    <col min="6" max="6" width="78.796875" style="1" customWidth="1"/>
    <col min="7" max="7" width="12.3984375" style="7" bestFit="1" customWidth="1"/>
    <col min="8" max="8" width="24.8984375" style="1" customWidth="1"/>
    <col min="9" max="16384" width="8.796875" style="1"/>
  </cols>
  <sheetData>
    <row r="2" spans="2:7" x14ac:dyDescent="0.45">
      <c r="B2" s="14" t="s">
        <v>49</v>
      </c>
      <c r="C2" s="14" t="s">
        <v>66</v>
      </c>
      <c r="D2" s="14" t="s">
        <v>56</v>
      </c>
      <c r="E2" s="8" t="s">
        <v>73</v>
      </c>
      <c r="F2" s="5" t="s">
        <v>0</v>
      </c>
      <c r="G2" s="24" t="s">
        <v>1</v>
      </c>
    </row>
    <row r="3" spans="2:7" ht="54" x14ac:dyDescent="0.45">
      <c r="B3" s="17" t="s">
        <v>88</v>
      </c>
      <c r="C3" s="1" t="s">
        <v>74</v>
      </c>
      <c r="D3" s="2" t="s">
        <v>68</v>
      </c>
      <c r="E3" s="23" t="s">
        <v>72</v>
      </c>
      <c r="F3" s="3" t="s">
        <v>93</v>
      </c>
      <c r="G3" s="6">
        <v>0</v>
      </c>
    </row>
    <row r="4" spans="2:7" ht="90" x14ac:dyDescent="0.45">
      <c r="B4" s="18"/>
      <c r="C4" s="17" t="s">
        <v>90</v>
      </c>
      <c r="D4" s="2" t="s">
        <v>67</v>
      </c>
      <c r="E4" s="23" t="s">
        <v>72</v>
      </c>
      <c r="F4" s="3" t="s">
        <v>142</v>
      </c>
      <c r="G4" s="6"/>
    </row>
    <row r="5" spans="2:7" ht="90" x14ac:dyDescent="0.45">
      <c r="B5" s="18"/>
      <c r="C5" s="17" t="s">
        <v>91</v>
      </c>
      <c r="D5" s="2" t="s">
        <v>67</v>
      </c>
      <c r="E5" s="23" t="s">
        <v>72</v>
      </c>
      <c r="F5" s="3" t="s">
        <v>141</v>
      </c>
      <c r="G5" s="6"/>
    </row>
    <row r="6" spans="2:7" x14ac:dyDescent="0.45">
      <c r="B6" s="18"/>
      <c r="C6" s="18"/>
      <c r="D6" s="2" t="s">
        <v>57</v>
      </c>
      <c r="E6" s="23"/>
      <c r="F6" s="3"/>
      <c r="G6" s="6"/>
    </row>
    <row r="7" spans="2:7" x14ac:dyDescent="0.45">
      <c r="B7" s="18"/>
      <c r="C7" s="18"/>
      <c r="D7" s="2" t="s">
        <v>58</v>
      </c>
      <c r="E7" s="23"/>
      <c r="F7" s="3"/>
      <c r="G7" s="6"/>
    </row>
    <row r="8" spans="2:7" x14ac:dyDescent="0.45">
      <c r="B8" s="18"/>
      <c r="C8" s="18"/>
      <c r="D8" s="2" t="s">
        <v>59</v>
      </c>
      <c r="E8" s="23"/>
      <c r="F8" s="3"/>
      <c r="G8" s="6"/>
    </row>
    <row r="9" spans="2:7" x14ac:dyDescent="0.45">
      <c r="B9" s="18"/>
      <c r="C9" s="18"/>
      <c r="D9" s="2" t="s">
        <v>78</v>
      </c>
      <c r="E9" s="23"/>
      <c r="F9" s="3"/>
      <c r="G9" s="6"/>
    </row>
    <row r="10" spans="2:7" x14ac:dyDescent="0.45">
      <c r="B10" s="18"/>
      <c r="C10" s="18"/>
      <c r="D10" s="2" t="s">
        <v>81</v>
      </c>
      <c r="E10" s="23"/>
      <c r="F10" s="3"/>
      <c r="G10" s="6"/>
    </row>
    <row r="11" spans="2:7" x14ac:dyDescent="0.45">
      <c r="B11" s="18"/>
      <c r="C11" s="18"/>
      <c r="D11" s="2" t="s">
        <v>84</v>
      </c>
      <c r="E11" s="23"/>
      <c r="F11" s="3"/>
      <c r="G11" s="6"/>
    </row>
    <row r="12" spans="2:7" x14ac:dyDescent="0.45">
      <c r="B12" s="18"/>
      <c r="C12" s="19"/>
      <c r="D12" s="2" t="s">
        <v>60</v>
      </c>
      <c r="E12" s="23"/>
      <c r="F12" s="3"/>
      <c r="G12" s="6"/>
    </row>
    <row r="13" spans="2:7" ht="90" x14ac:dyDescent="0.45">
      <c r="B13" s="18"/>
      <c r="C13" s="17" t="s">
        <v>92</v>
      </c>
      <c r="D13" s="2" t="s">
        <v>67</v>
      </c>
      <c r="E13" s="23" t="s">
        <v>72</v>
      </c>
      <c r="F13" s="3" t="s">
        <v>140</v>
      </c>
      <c r="G13" s="6"/>
    </row>
    <row r="14" spans="2:7" x14ac:dyDescent="0.45">
      <c r="B14" s="18"/>
      <c r="C14" s="18"/>
      <c r="D14" s="2" t="s">
        <v>57</v>
      </c>
      <c r="E14" s="23"/>
      <c r="F14" s="3"/>
      <c r="G14" s="6"/>
    </row>
    <row r="15" spans="2:7" x14ac:dyDescent="0.45">
      <c r="B15" s="18"/>
      <c r="C15" s="18"/>
      <c r="D15" s="2" t="s">
        <v>58</v>
      </c>
      <c r="E15" s="23"/>
      <c r="F15" s="3"/>
      <c r="G15" s="6"/>
    </row>
    <row r="16" spans="2:7" x14ac:dyDescent="0.45">
      <c r="B16" s="18"/>
      <c r="C16" s="18"/>
      <c r="D16" s="2" t="s">
        <v>59</v>
      </c>
      <c r="E16" s="23"/>
      <c r="F16" s="3"/>
      <c r="G16" s="6"/>
    </row>
    <row r="17" spans="2:7" x14ac:dyDescent="0.45">
      <c r="B17" s="18"/>
      <c r="C17" s="18"/>
      <c r="D17" s="2" t="s">
        <v>78</v>
      </c>
      <c r="E17" s="23"/>
      <c r="F17" s="3"/>
      <c r="G17" s="6"/>
    </row>
    <row r="18" spans="2:7" x14ac:dyDescent="0.45">
      <c r="B18" s="18"/>
      <c r="C18" s="18"/>
      <c r="D18" s="2" t="s">
        <v>81</v>
      </c>
      <c r="E18" s="23"/>
      <c r="F18" s="3"/>
      <c r="G18" s="6"/>
    </row>
    <row r="19" spans="2:7" x14ac:dyDescent="0.45">
      <c r="B19" s="18"/>
      <c r="C19" s="18"/>
      <c r="D19" s="2" t="s">
        <v>84</v>
      </c>
      <c r="E19" s="23"/>
      <c r="F19" s="3"/>
      <c r="G19" s="6"/>
    </row>
    <row r="20" spans="2:7" x14ac:dyDescent="0.45">
      <c r="B20" s="18"/>
      <c r="C20" s="19"/>
      <c r="D20" s="2" t="s">
        <v>60</v>
      </c>
      <c r="E20" s="23"/>
      <c r="F20" s="3"/>
      <c r="G20" s="6"/>
    </row>
    <row r="21" spans="2:7" ht="90" x14ac:dyDescent="0.45">
      <c r="B21" s="18"/>
      <c r="C21" s="17" t="s">
        <v>89</v>
      </c>
      <c r="D21" s="2" t="s">
        <v>67</v>
      </c>
      <c r="E21" s="23"/>
      <c r="F21" s="3" t="s">
        <v>139</v>
      </c>
      <c r="G21" s="6"/>
    </row>
    <row r="22" spans="2:7" x14ac:dyDescent="0.45">
      <c r="B22" s="18"/>
      <c r="C22" s="18"/>
      <c r="D22" s="2" t="s">
        <v>57</v>
      </c>
      <c r="E22" s="23"/>
      <c r="F22" s="3"/>
      <c r="G22" s="6"/>
    </row>
    <row r="23" spans="2:7" x14ac:dyDescent="0.45">
      <c r="B23" s="18"/>
      <c r="C23" s="18"/>
      <c r="D23" s="2" t="s">
        <v>58</v>
      </c>
      <c r="E23" s="23"/>
      <c r="F23" s="3"/>
      <c r="G23" s="6"/>
    </row>
    <row r="24" spans="2:7" x14ac:dyDescent="0.45">
      <c r="B24" s="18"/>
      <c r="C24" s="18"/>
      <c r="D24" s="2" t="s">
        <v>59</v>
      </c>
      <c r="E24" s="23"/>
      <c r="F24" s="3"/>
      <c r="G24" s="6"/>
    </row>
    <row r="25" spans="2:7" x14ac:dyDescent="0.45">
      <c r="B25" s="18"/>
      <c r="C25" s="18"/>
      <c r="D25" s="2" t="s">
        <v>78</v>
      </c>
      <c r="E25" s="23"/>
      <c r="F25" s="3"/>
      <c r="G25" s="6"/>
    </row>
    <row r="26" spans="2:7" x14ac:dyDescent="0.45">
      <c r="B26" s="18"/>
      <c r="C26" s="18"/>
      <c r="D26" s="2" t="s">
        <v>81</v>
      </c>
      <c r="E26" s="23"/>
      <c r="F26" s="3"/>
      <c r="G26" s="6"/>
    </row>
    <row r="27" spans="2:7" x14ac:dyDescent="0.45">
      <c r="B27" s="18"/>
      <c r="C27" s="18"/>
      <c r="D27" s="2" t="s">
        <v>84</v>
      </c>
      <c r="E27" s="23"/>
      <c r="F27" s="3"/>
      <c r="G27" s="6"/>
    </row>
    <row r="28" spans="2:7" x14ac:dyDescent="0.45">
      <c r="B28" s="18"/>
      <c r="C28" s="19"/>
      <c r="D28" s="2" t="s">
        <v>60</v>
      </c>
      <c r="E28" s="23"/>
      <c r="F28" s="3"/>
      <c r="G28" s="6"/>
    </row>
    <row r="29" spans="2:7" ht="90" x14ac:dyDescent="0.45">
      <c r="B29" s="18"/>
      <c r="C29" s="17" t="s">
        <v>94</v>
      </c>
      <c r="D29" s="2" t="s">
        <v>67</v>
      </c>
      <c r="E29" s="23"/>
      <c r="F29" s="3" t="s">
        <v>138</v>
      </c>
      <c r="G29" s="6"/>
    </row>
    <row r="30" spans="2:7" x14ac:dyDescent="0.45">
      <c r="B30" s="18"/>
      <c r="C30" s="18"/>
      <c r="D30" s="2" t="s">
        <v>57</v>
      </c>
      <c r="E30" s="23"/>
      <c r="F30" s="3"/>
      <c r="G30" s="6"/>
    </row>
    <row r="31" spans="2:7" x14ac:dyDescent="0.45">
      <c r="B31" s="18"/>
      <c r="C31" s="18"/>
      <c r="D31" s="2" t="s">
        <v>58</v>
      </c>
      <c r="E31" s="23"/>
      <c r="F31" s="3"/>
      <c r="G31" s="6"/>
    </row>
    <row r="32" spans="2:7" x14ac:dyDescent="0.45">
      <c r="B32" s="18"/>
      <c r="C32" s="18"/>
      <c r="D32" s="2" t="s">
        <v>59</v>
      </c>
      <c r="E32" s="23"/>
      <c r="F32" s="3"/>
      <c r="G32" s="6"/>
    </row>
    <row r="33" spans="2:7" x14ac:dyDescent="0.45">
      <c r="B33" s="18"/>
      <c r="C33" s="18"/>
      <c r="D33" s="2" t="s">
        <v>78</v>
      </c>
      <c r="E33" s="23"/>
      <c r="F33" s="3"/>
      <c r="G33" s="6"/>
    </row>
    <row r="34" spans="2:7" x14ac:dyDescent="0.45">
      <c r="B34" s="18"/>
      <c r="C34" s="18"/>
      <c r="D34" s="2" t="s">
        <v>81</v>
      </c>
      <c r="E34" s="23"/>
      <c r="F34" s="3"/>
      <c r="G34" s="6"/>
    </row>
    <row r="35" spans="2:7" x14ac:dyDescent="0.45">
      <c r="B35" s="18"/>
      <c r="C35" s="18"/>
      <c r="D35" s="2" t="s">
        <v>84</v>
      </c>
      <c r="E35" s="23"/>
      <c r="F35" s="3"/>
      <c r="G35" s="6"/>
    </row>
    <row r="36" spans="2:7" x14ac:dyDescent="0.45">
      <c r="B36" s="18"/>
      <c r="C36" s="19"/>
      <c r="D36" s="2" t="s">
        <v>60</v>
      </c>
      <c r="E36" s="23"/>
      <c r="F36" s="3"/>
      <c r="G36" s="6"/>
    </row>
    <row r="37" spans="2:7" ht="36" x14ac:dyDescent="0.45">
      <c r="B37" s="17" t="s">
        <v>87</v>
      </c>
      <c r="C37" s="1" t="s">
        <v>74</v>
      </c>
      <c r="D37" s="2" t="s">
        <v>68</v>
      </c>
      <c r="E37" s="23" t="s">
        <v>72</v>
      </c>
      <c r="F37" s="3" t="s">
        <v>95</v>
      </c>
      <c r="G37" s="6">
        <v>0</v>
      </c>
    </row>
    <row r="38" spans="2:7" ht="90" x14ac:dyDescent="0.45">
      <c r="B38" s="18"/>
      <c r="C38" s="17" t="s">
        <v>96</v>
      </c>
      <c r="D38" s="2" t="s">
        <v>67</v>
      </c>
      <c r="E38" s="23" t="s">
        <v>72</v>
      </c>
      <c r="F38" s="3" t="s">
        <v>137</v>
      </c>
      <c r="G38" s="6"/>
    </row>
    <row r="39" spans="2:7" x14ac:dyDescent="0.45">
      <c r="B39" s="18"/>
      <c r="C39" s="18"/>
      <c r="D39" s="2" t="s">
        <v>57</v>
      </c>
      <c r="E39" s="23"/>
      <c r="F39" s="3"/>
      <c r="G39" s="6"/>
    </row>
    <row r="40" spans="2:7" x14ac:dyDescent="0.45">
      <c r="B40" s="18"/>
      <c r="C40" s="18"/>
      <c r="D40" s="2" t="s">
        <v>58</v>
      </c>
      <c r="E40" s="23"/>
      <c r="F40" s="3"/>
      <c r="G40" s="6"/>
    </row>
    <row r="41" spans="2:7" x14ac:dyDescent="0.45">
      <c r="B41" s="18"/>
      <c r="C41" s="18"/>
      <c r="D41" s="2" t="s">
        <v>59</v>
      </c>
      <c r="E41" s="23"/>
      <c r="F41" s="3"/>
      <c r="G41" s="6"/>
    </row>
    <row r="42" spans="2:7" x14ac:dyDescent="0.45">
      <c r="B42" s="18"/>
      <c r="C42" s="18"/>
      <c r="D42" s="2" t="s">
        <v>78</v>
      </c>
      <c r="E42" s="23"/>
      <c r="F42" s="3"/>
      <c r="G42" s="6"/>
    </row>
    <row r="43" spans="2:7" x14ac:dyDescent="0.45">
      <c r="B43" s="18"/>
      <c r="C43" s="18"/>
      <c r="D43" s="2" t="s">
        <v>81</v>
      </c>
      <c r="E43" s="23"/>
      <c r="F43" s="3"/>
      <c r="G43" s="6"/>
    </row>
    <row r="44" spans="2:7" x14ac:dyDescent="0.45">
      <c r="B44" s="18"/>
      <c r="C44" s="18"/>
      <c r="D44" s="2" t="s">
        <v>84</v>
      </c>
      <c r="E44" s="23"/>
      <c r="F44" s="3"/>
      <c r="G44" s="6"/>
    </row>
    <row r="45" spans="2:7" x14ac:dyDescent="0.45">
      <c r="B45" s="18"/>
      <c r="C45" s="19"/>
      <c r="D45" s="2" t="s">
        <v>60</v>
      </c>
      <c r="E45" s="23"/>
      <c r="F45" s="3"/>
      <c r="G45" s="6"/>
    </row>
    <row r="46" spans="2:7" ht="90" x14ac:dyDescent="0.45">
      <c r="B46" s="18"/>
      <c r="C46" s="17" t="s">
        <v>97</v>
      </c>
      <c r="D46" s="2" t="s">
        <v>67</v>
      </c>
      <c r="E46" s="23" t="s">
        <v>72</v>
      </c>
      <c r="F46" s="3" t="s">
        <v>136</v>
      </c>
      <c r="G46" s="6"/>
    </row>
    <row r="47" spans="2:7" x14ac:dyDescent="0.45">
      <c r="B47" s="18"/>
      <c r="C47" s="18"/>
      <c r="D47" s="2" t="s">
        <v>57</v>
      </c>
      <c r="E47" s="23"/>
      <c r="F47" s="3"/>
      <c r="G47" s="6"/>
    </row>
    <row r="48" spans="2:7" x14ac:dyDescent="0.45">
      <c r="B48" s="18"/>
      <c r="C48" s="18"/>
      <c r="D48" s="2" t="s">
        <v>58</v>
      </c>
      <c r="E48" s="23"/>
      <c r="F48" s="3"/>
      <c r="G48" s="6"/>
    </row>
    <row r="49" spans="2:7" x14ac:dyDescent="0.45">
      <c r="B49" s="18"/>
      <c r="C49" s="18"/>
      <c r="D49" s="2" t="s">
        <v>59</v>
      </c>
      <c r="E49" s="23"/>
      <c r="F49" s="3"/>
      <c r="G49" s="6"/>
    </row>
    <row r="50" spans="2:7" x14ac:dyDescent="0.45">
      <c r="B50" s="18"/>
      <c r="C50" s="18"/>
      <c r="D50" s="2" t="s">
        <v>78</v>
      </c>
      <c r="E50" s="23"/>
      <c r="F50" s="3"/>
      <c r="G50" s="6"/>
    </row>
    <row r="51" spans="2:7" x14ac:dyDescent="0.45">
      <c r="B51" s="18"/>
      <c r="C51" s="18"/>
      <c r="D51" s="2" t="s">
        <v>81</v>
      </c>
      <c r="E51" s="23"/>
      <c r="F51" s="3"/>
      <c r="G51" s="6"/>
    </row>
    <row r="52" spans="2:7" x14ac:dyDescent="0.45">
      <c r="B52" s="18"/>
      <c r="C52" s="18"/>
      <c r="D52" s="2" t="s">
        <v>84</v>
      </c>
      <c r="E52" s="23"/>
      <c r="F52" s="3"/>
      <c r="G52" s="6"/>
    </row>
    <row r="53" spans="2:7" x14ac:dyDescent="0.45">
      <c r="B53" s="18"/>
      <c r="C53" s="19"/>
      <c r="D53" s="2" t="s">
        <v>60</v>
      </c>
      <c r="E53" s="23"/>
      <c r="F53" s="3"/>
      <c r="G53" s="6"/>
    </row>
    <row r="54" spans="2:7" ht="90" x14ac:dyDescent="0.45">
      <c r="B54" s="18"/>
      <c r="C54" s="17" t="s">
        <v>98</v>
      </c>
      <c r="D54" s="2" t="s">
        <v>67</v>
      </c>
      <c r="E54" s="23"/>
      <c r="F54" s="3" t="s">
        <v>135</v>
      </c>
      <c r="G54" s="6"/>
    </row>
    <row r="55" spans="2:7" x14ac:dyDescent="0.45">
      <c r="B55" s="18"/>
      <c r="C55" s="18"/>
      <c r="D55" s="2" t="s">
        <v>57</v>
      </c>
      <c r="E55" s="23"/>
      <c r="F55" s="3"/>
      <c r="G55" s="6"/>
    </row>
    <row r="56" spans="2:7" x14ac:dyDescent="0.45">
      <c r="B56" s="18"/>
      <c r="C56" s="18"/>
      <c r="D56" s="2" t="s">
        <v>58</v>
      </c>
      <c r="E56" s="23"/>
      <c r="F56" s="3"/>
      <c r="G56" s="6"/>
    </row>
    <row r="57" spans="2:7" x14ac:dyDescent="0.45">
      <c r="B57" s="18"/>
      <c r="C57" s="18"/>
      <c r="D57" s="2" t="s">
        <v>59</v>
      </c>
      <c r="E57" s="23"/>
      <c r="F57" s="3"/>
      <c r="G57" s="6"/>
    </row>
    <row r="58" spans="2:7" x14ac:dyDescent="0.45">
      <c r="B58" s="18"/>
      <c r="C58" s="18"/>
      <c r="D58" s="2" t="s">
        <v>78</v>
      </c>
      <c r="E58" s="23"/>
      <c r="F58" s="3"/>
      <c r="G58" s="6"/>
    </row>
    <row r="59" spans="2:7" x14ac:dyDescent="0.45">
      <c r="B59" s="18"/>
      <c r="C59" s="18"/>
      <c r="D59" s="2" t="s">
        <v>81</v>
      </c>
      <c r="E59" s="23"/>
      <c r="F59" s="3"/>
      <c r="G59" s="6"/>
    </row>
    <row r="60" spans="2:7" x14ac:dyDescent="0.45">
      <c r="B60" s="18"/>
      <c r="C60" s="18"/>
      <c r="D60" s="2" t="s">
        <v>84</v>
      </c>
      <c r="E60" s="23"/>
      <c r="F60" s="3"/>
      <c r="G60" s="6"/>
    </row>
    <row r="61" spans="2:7" x14ac:dyDescent="0.45">
      <c r="B61" s="19"/>
      <c r="C61" s="19"/>
      <c r="D61" s="2" t="s">
        <v>60</v>
      </c>
      <c r="E61" s="23"/>
      <c r="F61" s="3"/>
      <c r="G61" s="6"/>
    </row>
    <row r="62" spans="2:7" ht="72" x14ac:dyDescent="0.45">
      <c r="B62" s="17" t="s">
        <v>105</v>
      </c>
      <c r="C62" s="1" t="s">
        <v>74</v>
      </c>
      <c r="D62" s="2" t="s">
        <v>68</v>
      </c>
      <c r="E62" s="23" t="s">
        <v>72</v>
      </c>
      <c r="F62" s="3" t="s">
        <v>99</v>
      </c>
      <c r="G62" s="6">
        <v>0</v>
      </c>
    </row>
    <row r="63" spans="2:7" ht="90" x14ac:dyDescent="0.45">
      <c r="B63" s="18"/>
      <c r="C63" s="11" t="s">
        <v>100</v>
      </c>
      <c r="D63" s="2" t="s">
        <v>67</v>
      </c>
      <c r="E63" s="23"/>
      <c r="F63" s="3" t="s">
        <v>134</v>
      </c>
      <c r="G63" s="6"/>
    </row>
    <row r="64" spans="2:7" x14ac:dyDescent="0.45">
      <c r="B64" s="18"/>
      <c r="C64" s="12"/>
      <c r="D64" s="2" t="s">
        <v>57</v>
      </c>
      <c r="E64" s="23"/>
      <c r="F64" s="3"/>
      <c r="G64" s="6"/>
    </row>
    <row r="65" spans="2:7" x14ac:dyDescent="0.45">
      <c r="B65" s="18"/>
      <c r="C65" s="12"/>
      <c r="D65" s="2" t="s">
        <v>58</v>
      </c>
      <c r="E65" s="23"/>
      <c r="F65" s="3"/>
      <c r="G65" s="6"/>
    </row>
    <row r="66" spans="2:7" x14ac:dyDescent="0.45">
      <c r="B66" s="18"/>
      <c r="C66" s="12"/>
      <c r="D66" s="2" t="s">
        <v>59</v>
      </c>
      <c r="E66" s="23"/>
      <c r="F66" s="3"/>
      <c r="G66" s="6"/>
    </row>
    <row r="67" spans="2:7" x14ac:dyDescent="0.45">
      <c r="B67" s="18"/>
      <c r="C67" s="12"/>
      <c r="D67" s="2" t="s">
        <v>78</v>
      </c>
      <c r="E67" s="23"/>
      <c r="F67" s="3"/>
      <c r="G67" s="6"/>
    </row>
    <row r="68" spans="2:7" x14ac:dyDescent="0.45">
      <c r="B68" s="18"/>
      <c r="C68" s="12"/>
      <c r="D68" s="2" t="s">
        <v>81</v>
      </c>
      <c r="E68" s="23"/>
      <c r="F68" s="3"/>
      <c r="G68" s="6"/>
    </row>
    <row r="69" spans="2:7" x14ac:dyDescent="0.45">
      <c r="B69" s="18"/>
      <c r="C69" s="18"/>
      <c r="D69" s="2" t="s">
        <v>84</v>
      </c>
      <c r="E69" s="23"/>
      <c r="F69" s="3"/>
      <c r="G69" s="6"/>
    </row>
    <row r="70" spans="2:7" x14ac:dyDescent="0.45">
      <c r="B70" s="18"/>
      <c r="C70" s="9"/>
      <c r="D70" s="2" t="s">
        <v>60</v>
      </c>
      <c r="E70" s="23"/>
      <c r="F70" s="3"/>
      <c r="G70" s="6"/>
    </row>
    <row r="71" spans="2:7" ht="90" x14ac:dyDescent="0.45">
      <c r="B71" s="18"/>
      <c r="C71" s="11" t="s">
        <v>86</v>
      </c>
      <c r="D71" s="2" t="s">
        <v>67</v>
      </c>
      <c r="E71" s="23"/>
      <c r="F71" s="3" t="s">
        <v>133</v>
      </c>
      <c r="G71" s="6"/>
    </row>
    <row r="72" spans="2:7" x14ac:dyDescent="0.45">
      <c r="B72" s="18"/>
      <c r="C72" s="12"/>
      <c r="D72" s="2" t="s">
        <v>57</v>
      </c>
      <c r="E72" s="23"/>
      <c r="F72" s="3"/>
      <c r="G72" s="6"/>
    </row>
    <row r="73" spans="2:7" x14ac:dyDescent="0.45">
      <c r="B73" s="18"/>
      <c r="C73" s="12"/>
      <c r="D73" s="2" t="s">
        <v>58</v>
      </c>
      <c r="E73" s="23"/>
      <c r="F73" s="3"/>
      <c r="G73" s="6"/>
    </row>
    <row r="74" spans="2:7" x14ac:dyDescent="0.45">
      <c r="B74" s="18"/>
      <c r="C74" s="12"/>
      <c r="D74" s="2" t="s">
        <v>59</v>
      </c>
      <c r="E74" s="23"/>
      <c r="F74" s="3"/>
      <c r="G74" s="6"/>
    </row>
    <row r="75" spans="2:7" x14ac:dyDescent="0.45">
      <c r="B75" s="18"/>
      <c r="C75" s="12"/>
      <c r="D75" s="2" t="s">
        <v>78</v>
      </c>
      <c r="E75" s="23"/>
      <c r="F75" s="3"/>
      <c r="G75" s="6"/>
    </row>
    <row r="76" spans="2:7" x14ac:dyDescent="0.45">
      <c r="B76" s="18"/>
      <c r="C76" s="12"/>
      <c r="D76" s="2" t="s">
        <v>81</v>
      </c>
      <c r="E76" s="23"/>
      <c r="F76" s="3"/>
      <c r="G76" s="6"/>
    </row>
    <row r="77" spans="2:7" x14ac:dyDescent="0.45">
      <c r="B77" s="18"/>
      <c r="C77" s="18"/>
      <c r="D77" s="2" t="s">
        <v>84</v>
      </c>
      <c r="E77" s="23"/>
      <c r="F77" s="3"/>
      <c r="G77" s="6"/>
    </row>
    <row r="78" spans="2:7" x14ac:dyDescent="0.45">
      <c r="B78" s="18"/>
      <c r="C78" s="9"/>
      <c r="D78" s="2" t="s">
        <v>60</v>
      </c>
      <c r="E78" s="23"/>
      <c r="F78" s="3"/>
      <c r="G78" s="6"/>
    </row>
    <row r="79" spans="2:7" ht="90" x14ac:dyDescent="0.45">
      <c r="B79" s="18"/>
      <c r="C79" s="11" t="s">
        <v>101</v>
      </c>
      <c r="D79" s="2" t="s">
        <v>67</v>
      </c>
      <c r="E79" s="23"/>
      <c r="F79" s="3" t="s">
        <v>132</v>
      </c>
      <c r="G79" s="6"/>
    </row>
    <row r="80" spans="2:7" x14ac:dyDescent="0.45">
      <c r="B80" s="18"/>
      <c r="C80" s="12"/>
      <c r="D80" s="2" t="s">
        <v>57</v>
      </c>
      <c r="E80" s="23"/>
      <c r="F80" s="3"/>
      <c r="G80" s="6"/>
    </row>
    <row r="81" spans="2:7" x14ac:dyDescent="0.45">
      <c r="B81" s="18"/>
      <c r="C81" s="12"/>
      <c r="D81" s="2" t="s">
        <v>58</v>
      </c>
      <c r="E81" s="23"/>
      <c r="F81" s="3"/>
      <c r="G81" s="6"/>
    </row>
    <row r="82" spans="2:7" x14ac:dyDescent="0.45">
      <c r="B82" s="18"/>
      <c r="C82" s="12"/>
      <c r="D82" s="2" t="s">
        <v>59</v>
      </c>
      <c r="E82" s="23"/>
      <c r="F82" s="3"/>
      <c r="G82" s="6"/>
    </row>
    <row r="83" spans="2:7" x14ac:dyDescent="0.45">
      <c r="B83" s="18"/>
      <c r="C83" s="12"/>
      <c r="D83" s="2" t="s">
        <v>78</v>
      </c>
      <c r="E83" s="23"/>
      <c r="F83" s="3"/>
      <c r="G83" s="6"/>
    </row>
    <row r="84" spans="2:7" x14ac:dyDescent="0.45">
      <c r="B84" s="18"/>
      <c r="C84" s="12"/>
      <c r="D84" s="2" t="s">
        <v>81</v>
      </c>
      <c r="E84" s="23"/>
      <c r="F84" s="3"/>
      <c r="G84" s="6"/>
    </row>
    <row r="85" spans="2:7" x14ac:dyDescent="0.45">
      <c r="B85" s="18"/>
      <c r="C85" s="18"/>
      <c r="D85" s="2" t="s">
        <v>84</v>
      </c>
      <c r="E85" s="23"/>
      <c r="F85" s="3"/>
      <c r="G85" s="6"/>
    </row>
    <row r="86" spans="2:7" x14ac:dyDescent="0.45">
      <c r="B86" s="18"/>
      <c r="C86" s="9"/>
      <c r="D86" s="2" t="s">
        <v>60</v>
      </c>
      <c r="E86" s="23"/>
      <c r="F86" s="3"/>
      <c r="G86" s="6"/>
    </row>
    <row r="87" spans="2:7" ht="90" x14ac:dyDescent="0.45">
      <c r="B87" s="18"/>
      <c r="C87" s="11" t="s">
        <v>102</v>
      </c>
      <c r="D87" s="2" t="s">
        <v>67</v>
      </c>
      <c r="E87" s="23"/>
      <c r="F87" s="3" t="s">
        <v>131</v>
      </c>
      <c r="G87" s="6"/>
    </row>
    <row r="88" spans="2:7" x14ac:dyDescent="0.45">
      <c r="B88" s="18"/>
      <c r="C88" s="12"/>
      <c r="D88" s="2" t="s">
        <v>57</v>
      </c>
      <c r="E88" s="23"/>
      <c r="F88" s="3"/>
      <c r="G88" s="6"/>
    </row>
    <row r="89" spans="2:7" x14ac:dyDescent="0.45">
      <c r="B89" s="18"/>
      <c r="C89" s="12"/>
      <c r="D89" s="2" t="s">
        <v>58</v>
      </c>
      <c r="E89" s="23"/>
      <c r="F89" s="3"/>
      <c r="G89" s="6"/>
    </row>
    <row r="90" spans="2:7" x14ac:dyDescent="0.45">
      <c r="B90" s="18"/>
      <c r="C90" s="12"/>
      <c r="D90" s="2" t="s">
        <v>59</v>
      </c>
      <c r="E90" s="23"/>
      <c r="F90" s="3"/>
      <c r="G90" s="6"/>
    </row>
    <row r="91" spans="2:7" x14ac:dyDescent="0.45">
      <c r="B91" s="18"/>
      <c r="C91" s="12"/>
      <c r="D91" s="2" t="s">
        <v>78</v>
      </c>
      <c r="E91" s="23"/>
      <c r="F91" s="3"/>
      <c r="G91" s="6"/>
    </row>
    <row r="92" spans="2:7" x14ac:dyDescent="0.45">
      <c r="B92" s="18"/>
      <c r="C92" s="12"/>
      <c r="D92" s="2" t="s">
        <v>81</v>
      </c>
      <c r="E92" s="23"/>
      <c r="F92" s="3"/>
      <c r="G92" s="6"/>
    </row>
    <row r="93" spans="2:7" x14ac:dyDescent="0.45">
      <c r="B93" s="18"/>
      <c r="C93" s="18"/>
      <c r="D93" s="2" t="s">
        <v>84</v>
      </c>
      <c r="E93" s="23"/>
      <c r="F93" s="3"/>
      <c r="G93" s="6"/>
    </row>
    <row r="94" spans="2:7" x14ac:dyDescent="0.45">
      <c r="B94" s="18"/>
      <c r="C94" s="9"/>
      <c r="D94" s="2" t="s">
        <v>60</v>
      </c>
      <c r="E94" s="23"/>
      <c r="F94" s="3"/>
      <c r="G94" s="6"/>
    </row>
    <row r="95" spans="2:7" ht="90" x14ac:dyDescent="0.45">
      <c r="B95" s="18"/>
      <c r="C95" s="11" t="s">
        <v>103</v>
      </c>
      <c r="D95" s="2" t="s">
        <v>67</v>
      </c>
      <c r="E95" s="23"/>
      <c r="F95" s="3" t="s">
        <v>130</v>
      </c>
      <c r="G95" s="6"/>
    </row>
    <row r="96" spans="2:7" x14ac:dyDescent="0.45">
      <c r="B96" s="18"/>
      <c r="C96" s="12"/>
      <c r="D96" s="2" t="s">
        <v>57</v>
      </c>
      <c r="E96" s="23"/>
      <c r="F96" s="3"/>
      <c r="G96" s="6"/>
    </row>
    <row r="97" spans="2:7" x14ac:dyDescent="0.45">
      <c r="B97" s="18"/>
      <c r="C97" s="12"/>
      <c r="D97" s="2" t="s">
        <v>58</v>
      </c>
      <c r="E97" s="23"/>
      <c r="F97" s="3"/>
      <c r="G97" s="6"/>
    </row>
    <row r="98" spans="2:7" x14ac:dyDescent="0.45">
      <c r="B98" s="18"/>
      <c r="C98" s="12"/>
      <c r="D98" s="2" t="s">
        <v>59</v>
      </c>
      <c r="E98" s="23"/>
      <c r="F98" s="3"/>
      <c r="G98" s="6"/>
    </row>
    <row r="99" spans="2:7" x14ac:dyDescent="0.45">
      <c r="B99" s="18"/>
      <c r="C99" s="12"/>
      <c r="D99" s="2" t="s">
        <v>78</v>
      </c>
      <c r="E99" s="23"/>
      <c r="F99" s="3"/>
      <c r="G99" s="6"/>
    </row>
    <row r="100" spans="2:7" x14ac:dyDescent="0.45">
      <c r="B100" s="18"/>
      <c r="C100" s="12"/>
      <c r="D100" s="2" t="s">
        <v>81</v>
      </c>
      <c r="E100" s="23"/>
      <c r="F100" s="3"/>
      <c r="G100" s="6"/>
    </row>
    <row r="101" spans="2:7" x14ac:dyDescent="0.45">
      <c r="B101" s="18"/>
      <c r="C101" s="18"/>
      <c r="D101" s="2" t="s">
        <v>84</v>
      </c>
      <c r="E101" s="23"/>
      <c r="F101" s="3"/>
      <c r="G101" s="6"/>
    </row>
    <row r="102" spans="2:7" x14ac:dyDescent="0.45">
      <c r="B102" s="18"/>
      <c r="C102" s="9"/>
      <c r="D102" s="2" t="s">
        <v>60</v>
      </c>
      <c r="E102" s="23"/>
      <c r="F102" s="3"/>
      <c r="G102" s="6"/>
    </row>
    <row r="103" spans="2:7" ht="90" x14ac:dyDescent="0.45">
      <c r="B103" s="18"/>
      <c r="C103" s="11" t="s">
        <v>104</v>
      </c>
      <c r="D103" s="2" t="s">
        <v>67</v>
      </c>
      <c r="E103" s="23"/>
      <c r="F103" s="3" t="s">
        <v>129</v>
      </c>
      <c r="G103" s="6"/>
    </row>
    <row r="104" spans="2:7" x14ac:dyDescent="0.45">
      <c r="B104" s="18"/>
      <c r="C104" s="12"/>
      <c r="D104" s="2" t="s">
        <v>57</v>
      </c>
      <c r="E104" s="23"/>
      <c r="F104" s="3"/>
      <c r="G104" s="6"/>
    </row>
    <row r="105" spans="2:7" x14ac:dyDescent="0.45">
      <c r="B105" s="18"/>
      <c r="C105" s="12"/>
      <c r="D105" s="2" t="s">
        <v>58</v>
      </c>
      <c r="E105" s="23"/>
      <c r="F105" s="3"/>
      <c r="G105" s="6"/>
    </row>
    <row r="106" spans="2:7" x14ac:dyDescent="0.45">
      <c r="B106" s="18"/>
      <c r="C106" s="12"/>
      <c r="D106" s="2" t="s">
        <v>59</v>
      </c>
      <c r="E106" s="23"/>
      <c r="F106" s="3"/>
      <c r="G106" s="6"/>
    </row>
    <row r="107" spans="2:7" x14ac:dyDescent="0.45">
      <c r="B107" s="18"/>
      <c r="C107" s="12"/>
      <c r="D107" s="2" t="s">
        <v>78</v>
      </c>
      <c r="E107" s="23"/>
      <c r="F107" s="3"/>
      <c r="G107" s="6"/>
    </row>
    <row r="108" spans="2:7" x14ac:dyDescent="0.45">
      <c r="B108" s="18"/>
      <c r="C108" s="12"/>
      <c r="D108" s="2" t="s">
        <v>81</v>
      </c>
      <c r="E108" s="23"/>
      <c r="F108" s="3"/>
      <c r="G108" s="6"/>
    </row>
    <row r="109" spans="2:7" x14ac:dyDescent="0.45">
      <c r="B109" s="18"/>
      <c r="C109" s="18"/>
      <c r="D109" s="2" t="s">
        <v>84</v>
      </c>
      <c r="E109" s="23"/>
      <c r="F109" s="3"/>
      <c r="G109" s="6"/>
    </row>
    <row r="110" spans="2:7" x14ac:dyDescent="0.45">
      <c r="B110" s="19"/>
      <c r="C110" s="9"/>
      <c r="D110" s="2" t="s">
        <v>60</v>
      </c>
      <c r="E110" s="23"/>
      <c r="F110" s="3"/>
      <c r="G110" s="6"/>
    </row>
    <row r="111" spans="2:7" ht="90" x14ac:dyDescent="0.45">
      <c r="B111" s="17" t="s">
        <v>106</v>
      </c>
      <c r="C111" s="2" t="s">
        <v>74</v>
      </c>
      <c r="D111" s="2" t="s">
        <v>68</v>
      </c>
      <c r="E111" s="23"/>
      <c r="F111" s="3" t="s">
        <v>111</v>
      </c>
      <c r="G111" s="6">
        <v>0</v>
      </c>
    </row>
    <row r="112" spans="2:7" ht="90" x14ac:dyDescent="0.45">
      <c r="B112" s="18"/>
      <c r="C112" s="1" t="s">
        <v>107</v>
      </c>
      <c r="D112" s="2" t="s">
        <v>67</v>
      </c>
      <c r="E112" s="23"/>
      <c r="F112" s="3" t="s">
        <v>128</v>
      </c>
      <c r="G112" s="6"/>
    </row>
    <row r="113" spans="2:7" x14ac:dyDescent="0.45">
      <c r="B113" s="18"/>
      <c r="D113" s="2" t="s">
        <v>57</v>
      </c>
      <c r="E113" s="23"/>
      <c r="F113" s="3"/>
      <c r="G113" s="6"/>
    </row>
    <row r="114" spans="2:7" x14ac:dyDescent="0.45">
      <c r="B114" s="18"/>
      <c r="D114" s="2" t="s">
        <v>58</v>
      </c>
      <c r="E114" s="23"/>
      <c r="F114" s="3"/>
      <c r="G114" s="6"/>
    </row>
    <row r="115" spans="2:7" x14ac:dyDescent="0.45">
      <c r="B115" s="18"/>
      <c r="D115" s="2" t="s">
        <v>59</v>
      </c>
      <c r="E115" s="23"/>
      <c r="F115" s="3"/>
      <c r="G115" s="6"/>
    </row>
    <row r="116" spans="2:7" x14ac:dyDescent="0.45">
      <c r="B116" s="18"/>
      <c r="D116" s="2" t="s">
        <v>78</v>
      </c>
      <c r="E116" s="23"/>
      <c r="F116" s="3"/>
      <c r="G116" s="6"/>
    </row>
    <row r="117" spans="2:7" x14ac:dyDescent="0.45">
      <c r="B117" s="18"/>
      <c r="D117" s="2" t="s">
        <v>81</v>
      </c>
      <c r="E117" s="23"/>
      <c r="F117" s="3"/>
      <c r="G117" s="6"/>
    </row>
    <row r="118" spans="2:7" x14ac:dyDescent="0.45">
      <c r="B118" s="18"/>
      <c r="C118" s="18"/>
      <c r="D118" s="2" t="s">
        <v>84</v>
      </c>
      <c r="E118" s="23"/>
      <c r="F118" s="3"/>
      <c r="G118" s="6"/>
    </row>
    <row r="119" spans="2:7" x14ac:dyDescent="0.45">
      <c r="B119" s="18"/>
      <c r="C119" s="9"/>
      <c r="D119" s="2" t="s">
        <v>60</v>
      </c>
      <c r="E119" s="23"/>
      <c r="F119" s="3"/>
      <c r="G119" s="6"/>
    </row>
    <row r="120" spans="2:7" ht="90" x14ac:dyDescent="0.45">
      <c r="B120" s="18"/>
      <c r="C120" s="1" t="s">
        <v>108</v>
      </c>
      <c r="D120" s="2" t="s">
        <v>67</v>
      </c>
      <c r="E120" s="23"/>
      <c r="F120" s="3" t="s">
        <v>127</v>
      </c>
      <c r="G120" s="6"/>
    </row>
    <row r="121" spans="2:7" x14ac:dyDescent="0.45">
      <c r="B121" s="18"/>
      <c r="C121" s="21"/>
      <c r="D121" s="2" t="s">
        <v>57</v>
      </c>
      <c r="E121" s="23"/>
      <c r="F121" s="3"/>
      <c r="G121" s="6"/>
    </row>
    <row r="122" spans="2:7" x14ac:dyDescent="0.45">
      <c r="B122" s="18"/>
      <c r="C122" s="21"/>
      <c r="D122" s="2" t="s">
        <v>58</v>
      </c>
      <c r="E122" s="23"/>
      <c r="F122" s="3"/>
      <c r="G122" s="6"/>
    </row>
    <row r="123" spans="2:7" x14ac:dyDescent="0.45">
      <c r="B123" s="18"/>
      <c r="C123" s="21"/>
      <c r="D123" s="2" t="s">
        <v>59</v>
      </c>
      <c r="E123" s="23"/>
      <c r="F123" s="3"/>
      <c r="G123" s="6"/>
    </row>
    <row r="124" spans="2:7" x14ac:dyDescent="0.45">
      <c r="B124" s="18"/>
      <c r="C124" s="21"/>
      <c r="D124" s="2" t="s">
        <v>78</v>
      </c>
      <c r="E124" s="23"/>
      <c r="F124" s="3"/>
      <c r="G124" s="6"/>
    </row>
    <row r="125" spans="2:7" x14ac:dyDescent="0.45">
      <c r="B125" s="18"/>
      <c r="C125" s="21"/>
      <c r="D125" s="2" t="s">
        <v>81</v>
      </c>
      <c r="E125" s="23"/>
      <c r="F125" s="3"/>
      <c r="G125" s="6"/>
    </row>
    <row r="126" spans="2:7" x14ac:dyDescent="0.45">
      <c r="B126" s="18"/>
      <c r="C126" s="18"/>
      <c r="D126" s="2" t="s">
        <v>84</v>
      </c>
      <c r="E126" s="23"/>
      <c r="F126" s="3"/>
      <c r="G126" s="6"/>
    </row>
    <row r="127" spans="2:7" x14ac:dyDescent="0.45">
      <c r="B127" s="18"/>
      <c r="C127" s="22"/>
      <c r="D127" s="2" t="s">
        <v>60</v>
      </c>
      <c r="E127" s="23"/>
      <c r="F127" s="3"/>
      <c r="G127" s="6"/>
    </row>
    <row r="128" spans="2:7" ht="90" x14ac:dyDescent="0.45">
      <c r="B128" s="18"/>
      <c r="C128" s="20" t="s">
        <v>109</v>
      </c>
      <c r="D128" s="2" t="s">
        <v>67</v>
      </c>
      <c r="E128" s="23"/>
      <c r="F128" s="3" t="s">
        <v>126</v>
      </c>
      <c r="G128" s="6"/>
    </row>
    <row r="129" spans="2:7" x14ac:dyDescent="0.45">
      <c r="B129" s="18"/>
      <c r="C129" s="21"/>
      <c r="D129" s="2" t="s">
        <v>57</v>
      </c>
      <c r="E129" s="23"/>
      <c r="F129" s="3"/>
      <c r="G129" s="6"/>
    </row>
    <row r="130" spans="2:7" x14ac:dyDescent="0.45">
      <c r="B130" s="18"/>
      <c r="C130" s="21"/>
      <c r="D130" s="2" t="s">
        <v>58</v>
      </c>
      <c r="E130" s="23"/>
      <c r="F130" s="3"/>
      <c r="G130" s="6"/>
    </row>
    <row r="131" spans="2:7" x14ac:dyDescent="0.45">
      <c r="B131" s="18"/>
      <c r="C131" s="21"/>
      <c r="D131" s="2" t="s">
        <v>59</v>
      </c>
      <c r="E131" s="23"/>
      <c r="F131" s="3"/>
      <c r="G131" s="6"/>
    </row>
    <row r="132" spans="2:7" x14ac:dyDescent="0.45">
      <c r="B132" s="18"/>
      <c r="C132" s="21"/>
      <c r="D132" s="2" t="s">
        <v>78</v>
      </c>
      <c r="E132" s="23"/>
      <c r="F132" s="3"/>
      <c r="G132" s="6"/>
    </row>
    <row r="133" spans="2:7" x14ac:dyDescent="0.45">
      <c r="B133" s="18"/>
      <c r="C133" s="21"/>
      <c r="D133" s="2" t="s">
        <v>81</v>
      </c>
      <c r="E133" s="23"/>
      <c r="F133" s="3"/>
      <c r="G133" s="6"/>
    </row>
    <row r="134" spans="2:7" x14ac:dyDescent="0.45">
      <c r="B134" s="18"/>
      <c r="C134" s="18"/>
      <c r="D134" s="2" t="s">
        <v>84</v>
      </c>
      <c r="E134" s="23"/>
      <c r="F134" s="3"/>
      <c r="G134" s="6"/>
    </row>
    <row r="135" spans="2:7" x14ac:dyDescent="0.45">
      <c r="B135" s="18"/>
      <c r="C135" s="22"/>
      <c r="D135" s="2" t="s">
        <v>60</v>
      </c>
      <c r="E135" s="23"/>
      <c r="F135" s="3"/>
      <c r="G135" s="6"/>
    </row>
    <row r="136" spans="2:7" ht="90" x14ac:dyDescent="0.45">
      <c r="B136" s="18"/>
      <c r="C136" s="20" t="s">
        <v>110</v>
      </c>
      <c r="D136" s="2" t="s">
        <v>67</v>
      </c>
      <c r="E136" s="23"/>
      <c r="F136" s="3" t="s">
        <v>125</v>
      </c>
      <c r="G136" s="6"/>
    </row>
    <row r="137" spans="2:7" x14ac:dyDescent="0.45">
      <c r="B137" s="18"/>
      <c r="C137" s="21"/>
      <c r="D137" s="2" t="s">
        <v>57</v>
      </c>
      <c r="E137" s="23"/>
      <c r="F137" s="3"/>
      <c r="G137" s="6"/>
    </row>
    <row r="138" spans="2:7" x14ac:dyDescent="0.45">
      <c r="B138" s="18"/>
      <c r="C138" s="21"/>
      <c r="D138" s="2" t="s">
        <v>58</v>
      </c>
      <c r="E138" s="23"/>
      <c r="F138" s="3"/>
      <c r="G138" s="6"/>
    </row>
    <row r="139" spans="2:7" x14ac:dyDescent="0.45">
      <c r="B139" s="18"/>
      <c r="C139" s="21"/>
      <c r="D139" s="2" t="s">
        <v>59</v>
      </c>
      <c r="E139" s="23"/>
      <c r="F139" s="3"/>
      <c r="G139" s="6"/>
    </row>
    <row r="140" spans="2:7" x14ac:dyDescent="0.45">
      <c r="B140" s="18"/>
      <c r="C140" s="21"/>
      <c r="D140" s="2" t="s">
        <v>78</v>
      </c>
      <c r="E140" s="23"/>
      <c r="F140" s="3"/>
      <c r="G140" s="6"/>
    </row>
    <row r="141" spans="2:7" x14ac:dyDescent="0.45">
      <c r="B141" s="18"/>
      <c r="C141" s="21"/>
      <c r="D141" s="2" t="s">
        <v>81</v>
      </c>
      <c r="E141" s="23"/>
      <c r="F141" s="3"/>
      <c r="G141" s="6"/>
    </row>
    <row r="142" spans="2:7" x14ac:dyDescent="0.45">
      <c r="B142" s="18"/>
      <c r="C142" s="18"/>
      <c r="D142" s="2" t="s">
        <v>84</v>
      </c>
      <c r="E142" s="23"/>
      <c r="F142" s="3"/>
      <c r="G142" s="6"/>
    </row>
    <row r="143" spans="2:7" x14ac:dyDescent="0.45">
      <c r="B143" s="18"/>
      <c r="C143" s="22"/>
      <c r="D143" s="2" t="s">
        <v>60</v>
      </c>
      <c r="E143" s="23"/>
      <c r="F143" s="3"/>
      <c r="G143" s="6"/>
    </row>
    <row r="144" spans="2:7" ht="90" x14ac:dyDescent="0.45">
      <c r="B144" s="18"/>
      <c r="C144" s="20" t="s">
        <v>112</v>
      </c>
      <c r="D144" s="2" t="s">
        <v>67</v>
      </c>
      <c r="E144" s="23"/>
      <c r="F144" s="3" t="s">
        <v>124</v>
      </c>
      <c r="G144" s="6"/>
    </row>
    <row r="145" spans="2:7" x14ac:dyDescent="0.45">
      <c r="B145" s="18"/>
      <c r="C145" s="21"/>
      <c r="D145" s="2" t="s">
        <v>57</v>
      </c>
      <c r="E145" s="23"/>
      <c r="F145" s="3"/>
      <c r="G145" s="6"/>
    </row>
    <row r="146" spans="2:7" x14ac:dyDescent="0.45">
      <c r="B146" s="18"/>
      <c r="C146" s="21"/>
      <c r="D146" s="2" t="s">
        <v>58</v>
      </c>
      <c r="E146" s="23"/>
      <c r="F146" s="3"/>
      <c r="G146" s="6"/>
    </row>
    <row r="147" spans="2:7" x14ac:dyDescent="0.45">
      <c r="B147" s="18"/>
      <c r="C147" s="21"/>
      <c r="D147" s="2" t="s">
        <v>59</v>
      </c>
      <c r="E147" s="23"/>
      <c r="F147" s="3"/>
      <c r="G147" s="6"/>
    </row>
    <row r="148" spans="2:7" x14ac:dyDescent="0.45">
      <c r="B148" s="18"/>
      <c r="C148" s="21"/>
      <c r="D148" s="2" t="s">
        <v>78</v>
      </c>
      <c r="E148" s="23"/>
      <c r="F148" s="3"/>
      <c r="G148" s="6"/>
    </row>
    <row r="149" spans="2:7" x14ac:dyDescent="0.45">
      <c r="B149" s="18"/>
      <c r="C149" s="21"/>
      <c r="D149" s="2" t="s">
        <v>81</v>
      </c>
      <c r="E149" s="23"/>
      <c r="F149" s="3"/>
      <c r="G149" s="6"/>
    </row>
    <row r="150" spans="2:7" x14ac:dyDescent="0.45">
      <c r="B150" s="18"/>
      <c r="C150" s="18"/>
      <c r="D150" s="2" t="s">
        <v>84</v>
      </c>
      <c r="E150" s="23"/>
      <c r="F150" s="3"/>
      <c r="G150" s="6"/>
    </row>
    <row r="151" spans="2:7" x14ac:dyDescent="0.45">
      <c r="B151" s="18"/>
      <c r="C151" s="22"/>
      <c r="D151" s="2" t="s">
        <v>60</v>
      </c>
      <c r="E151" s="23"/>
      <c r="F151" s="3"/>
      <c r="G151" s="6"/>
    </row>
    <row r="152" spans="2:7" ht="90" x14ac:dyDescent="0.45">
      <c r="B152" s="18"/>
      <c r="C152" s="20" t="s">
        <v>113</v>
      </c>
      <c r="D152" s="2" t="s">
        <v>67</v>
      </c>
      <c r="E152" s="23"/>
      <c r="F152" s="3" t="s">
        <v>123</v>
      </c>
      <c r="G152" s="6"/>
    </row>
    <row r="153" spans="2:7" x14ac:dyDescent="0.45">
      <c r="B153" s="18"/>
      <c r="D153" s="2" t="s">
        <v>57</v>
      </c>
      <c r="E153" s="23"/>
      <c r="F153" s="3"/>
      <c r="G153" s="6"/>
    </row>
    <row r="154" spans="2:7" x14ac:dyDescent="0.45">
      <c r="B154" s="18"/>
      <c r="D154" s="2" t="s">
        <v>58</v>
      </c>
      <c r="E154" s="23"/>
      <c r="F154" s="3"/>
      <c r="G154" s="6"/>
    </row>
    <row r="155" spans="2:7" x14ac:dyDescent="0.45">
      <c r="B155" s="18"/>
      <c r="D155" s="2" t="s">
        <v>59</v>
      </c>
      <c r="E155" s="23"/>
      <c r="F155" s="3"/>
      <c r="G155" s="6"/>
    </row>
    <row r="156" spans="2:7" x14ac:dyDescent="0.45">
      <c r="B156" s="18"/>
      <c r="D156" s="2" t="s">
        <v>78</v>
      </c>
      <c r="E156" s="23"/>
      <c r="F156" s="3"/>
      <c r="G156" s="6"/>
    </row>
    <row r="157" spans="2:7" x14ac:dyDescent="0.45">
      <c r="B157" s="18"/>
      <c r="D157" s="2" t="s">
        <v>81</v>
      </c>
      <c r="E157" s="23"/>
      <c r="F157" s="3"/>
      <c r="G157" s="6"/>
    </row>
    <row r="158" spans="2:7" x14ac:dyDescent="0.45">
      <c r="B158" s="18"/>
      <c r="C158" s="18"/>
      <c r="D158" s="2" t="s">
        <v>84</v>
      </c>
      <c r="E158" s="23"/>
      <c r="F158" s="3"/>
      <c r="G158" s="6"/>
    </row>
    <row r="159" spans="2:7" x14ac:dyDescent="0.45">
      <c r="B159" s="18"/>
      <c r="D159" s="2" t="s">
        <v>60</v>
      </c>
      <c r="E159" s="23"/>
      <c r="F159" s="3"/>
      <c r="G159" s="6"/>
    </row>
    <row r="160" spans="2:7" ht="90" x14ac:dyDescent="0.45">
      <c r="B160" s="18"/>
      <c r="C160" s="20" t="s">
        <v>103</v>
      </c>
      <c r="D160" s="2" t="s">
        <v>67</v>
      </c>
      <c r="E160" s="23"/>
      <c r="F160" s="3" t="s">
        <v>122</v>
      </c>
      <c r="G160" s="6"/>
    </row>
    <row r="161" spans="2:7" x14ac:dyDescent="0.45">
      <c r="B161" s="18"/>
      <c r="C161" s="21"/>
      <c r="D161" s="2" t="s">
        <v>57</v>
      </c>
      <c r="E161" s="23"/>
      <c r="F161" s="3"/>
      <c r="G161" s="6"/>
    </row>
    <row r="162" spans="2:7" x14ac:dyDescent="0.45">
      <c r="B162" s="18"/>
      <c r="C162" s="21"/>
      <c r="D162" s="2" t="s">
        <v>58</v>
      </c>
      <c r="E162" s="23"/>
      <c r="F162" s="3"/>
      <c r="G162" s="6"/>
    </row>
    <row r="163" spans="2:7" x14ac:dyDescent="0.45">
      <c r="B163" s="18"/>
      <c r="C163" s="21"/>
      <c r="D163" s="2" t="s">
        <v>59</v>
      </c>
      <c r="E163" s="23"/>
      <c r="F163" s="3"/>
      <c r="G163" s="6"/>
    </row>
    <row r="164" spans="2:7" x14ac:dyDescent="0.45">
      <c r="B164" s="18"/>
      <c r="C164" s="21"/>
      <c r="D164" s="2" t="s">
        <v>78</v>
      </c>
      <c r="E164" s="23"/>
      <c r="F164" s="3"/>
      <c r="G164" s="6"/>
    </row>
    <row r="165" spans="2:7" x14ac:dyDescent="0.45">
      <c r="B165" s="18"/>
      <c r="C165" s="21"/>
      <c r="D165" s="2" t="s">
        <v>81</v>
      </c>
      <c r="E165" s="23"/>
      <c r="F165" s="3"/>
      <c r="G165" s="6"/>
    </row>
    <row r="166" spans="2:7" x14ac:dyDescent="0.45">
      <c r="B166" s="18"/>
      <c r="C166" s="18"/>
      <c r="D166" s="2" t="s">
        <v>84</v>
      </c>
      <c r="E166" s="23"/>
      <c r="F166" s="3"/>
      <c r="G166" s="6"/>
    </row>
    <row r="167" spans="2:7" x14ac:dyDescent="0.45">
      <c r="B167" s="18"/>
      <c r="C167" s="22"/>
      <c r="D167" s="2" t="s">
        <v>60</v>
      </c>
      <c r="E167" s="23"/>
      <c r="F167" s="3"/>
      <c r="G167" s="6"/>
    </row>
    <row r="168" spans="2:7" ht="90" x14ac:dyDescent="0.45">
      <c r="B168" s="18"/>
      <c r="C168" s="20" t="s">
        <v>104</v>
      </c>
      <c r="D168" s="2" t="s">
        <v>67</v>
      </c>
      <c r="E168" s="23"/>
      <c r="F168" s="3" t="s">
        <v>121</v>
      </c>
      <c r="G168" s="6"/>
    </row>
    <row r="169" spans="2:7" x14ac:dyDescent="0.45">
      <c r="B169" s="18"/>
      <c r="D169" s="2" t="s">
        <v>57</v>
      </c>
      <c r="E169" s="23"/>
      <c r="F169" s="3"/>
      <c r="G169" s="6"/>
    </row>
    <row r="170" spans="2:7" x14ac:dyDescent="0.45">
      <c r="B170" s="18"/>
      <c r="D170" s="2" t="s">
        <v>58</v>
      </c>
      <c r="E170" s="23"/>
      <c r="F170" s="3"/>
      <c r="G170" s="6"/>
    </row>
    <row r="171" spans="2:7" x14ac:dyDescent="0.45">
      <c r="B171" s="18"/>
      <c r="D171" s="2" t="s">
        <v>59</v>
      </c>
      <c r="E171" s="23"/>
      <c r="F171" s="3"/>
      <c r="G171" s="6"/>
    </row>
    <row r="172" spans="2:7" x14ac:dyDescent="0.45">
      <c r="B172" s="18"/>
      <c r="D172" s="2" t="s">
        <v>78</v>
      </c>
      <c r="E172" s="23"/>
      <c r="F172" s="3"/>
      <c r="G172" s="6"/>
    </row>
    <row r="173" spans="2:7" x14ac:dyDescent="0.45">
      <c r="B173" s="18"/>
      <c r="D173" s="2" t="s">
        <v>81</v>
      </c>
      <c r="E173" s="23"/>
      <c r="F173" s="3"/>
      <c r="G173" s="6"/>
    </row>
    <row r="174" spans="2:7" x14ac:dyDescent="0.45">
      <c r="B174" s="18"/>
      <c r="C174" s="18"/>
      <c r="D174" s="2" t="s">
        <v>84</v>
      </c>
      <c r="E174" s="23"/>
      <c r="F174" s="3"/>
      <c r="G174" s="6"/>
    </row>
    <row r="175" spans="2:7" x14ac:dyDescent="0.45">
      <c r="B175" s="19"/>
      <c r="D175" s="2" t="s">
        <v>60</v>
      </c>
      <c r="E175" s="23"/>
      <c r="F175" s="3"/>
      <c r="G175" s="6"/>
    </row>
    <row r="176" spans="2:7" ht="36" x14ac:dyDescent="0.45">
      <c r="B176" s="11" t="s">
        <v>52</v>
      </c>
      <c r="C176" s="2" t="s">
        <v>74</v>
      </c>
      <c r="D176" s="2" t="s">
        <v>68</v>
      </c>
      <c r="E176" s="23" t="s">
        <v>72</v>
      </c>
      <c r="F176" s="3" t="s">
        <v>69</v>
      </c>
      <c r="G176" s="6">
        <v>0</v>
      </c>
    </row>
    <row r="177" spans="2:7" ht="90" x14ac:dyDescent="0.45">
      <c r="B177" s="12"/>
      <c r="C177" s="1" t="s">
        <v>114</v>
      </c>
      <c r="D177" s="2" t="s">
        <v>67</v>
      </c>
      <c r="E177" s="23"/>
      <c r="F177" s="3" t="s">
        <v>120</v>
      </c>
      <c r="G177" s="6"/>
    </row>
    <row r="178" spans="2:7" x14ac:dyDescent="0.45">
      <c r="B178" s="18"/>
      <c r="D178" s="2" t="s">
        <v>57</v>
      </c>
      <c r="E178" s="23"/>
      <c r="F178" s="3"/>
      <c r="G178" s="6"/>
    </row>
    <row r="179" spans="2:7" x14ac:dyDescent="0.45">
      <c r="B179" s="18"/>
      <c r="D179" s="2" t="s">
        <v>58</v>
      </c>
      <c r="E179" s="23"/>
      <c r="F179" s="3"/>
      <c r="G179" s="6"/>
    </row>
    <row r="180" spans="2:7" x14ac:dyDescent="0.45">
      <c r="B180" s="18"/>
      <c r="D180" s="2" t="s">
        <v>59</v>
      </c>
      <c r="E180" s="23"/>
      <c r="F180" s="3"/>
      <c r="G180" s="6"/>
    </row>
    <row r="181" spans="2:7" x14ac:dyDescent="0.45">
      <c r="B181" s="18"/>
      <c r="D181" s="2" t="s">
        <v>78</v>
      </c>
      <c r="E181" s="23"/>
      <c r="F181" s="3"/>
      <c r="G181" s="6"/>
    </row>
    <row r="182" spans="2:7" x14ac:dyDescent="0.45">
      <c r="B182" s="18"/>
      <c r="D182" s="2" t="s">
        <v>81</v>
      </c>
      <c r="E182" s="23"/>
      <c r="F182" s="3"/>
      <c r="G182" s="6"/>
    </row>
    <row r="183" spans="2:7" x14ac:dyDescent="0.45">
      <c r="B183" s="18"/>
      <c r="C183" s="18"/>
      <c r="D183" s="2" t="s">
        <v>84</v>
      </c>
      <c r="E183" s="23"/>
      <c r="F183" s="3"/>
      <c r="G183" s="6"/>
    </row>
    <row r="184" spans="2:7" x14ac:dyDescent="0.45">
      <c r="B184" s="18"/>
      <c r="D184" s="2" t="s">
        <v>60</v>
      </c>
      <c r="E184" s="23"/>
      <c r="F184" s="3"/>
      <c r="G184" s="6"/>
    </row>
    <row r="185" spans="2:7" ht="90" x14ac:dyDescent="0.45">
      <c r="B185" s="12"/>
      <c r="C185" s="20" t="s">
        <v>115</v>
      </c>
      <c r="D185" s="2" t="s">
        <v>67</v>
      </c>
      <c r="E185" s="23"/>
      <c r="F185" s="3" t="s">
        <v>157</v>
      </c>
      <c r="G185" s="6"/>
    </row>
    <row r="186" spans="2:7" x14ac:dyDescent="0.45">
      <c r="B186" s="18"/>
      <c r="C186" s="21"/>
      <c r="D186" s="2" t="s">
        <v>57</v>
      </c>
      <c r="E186" s="23"/>
      <c r="F186" s="3"/>
      <c r="G186" s="6"/>
    </row>
    <row r="187" spans="2:7" x14ac:dyDescent="0.45">
      <c r="B187" s="18"/>
      <c r="C187" s="21"/>
      <c r="D187" s="2" t="s">
        <v>58</v>
      </c>
      <c r="E187" s="23"/>
      <c r="F187" s="3"/>
      <c r="G187" s="6"/>
    </row>
    <row r="188" spans="2:7" x14ac:dyDescent="0.45">
      <c r="B188" s="18"/>
      <c r="C188" s="21"/>
      <c r="D188" s="2" t="s">
        <v>59</v>
      </c>
      <c r="E188" s="23"/>
      <c r="F188" s="3"/>
      <c r="G188" s="6"/>
    </row>
    <row r="189" spans="2:7" x14ac:dyDescent="0.45">
      <c r="B189" s="18"/>
      <c r="C189" s="21"/>
      <c r="D189" s="2" t="s">
        <v>78</v>
      </c>
      <c r="E189" s="23"/>
      <c r="F189" s="3"/>
      <c r="G189" s="6"/>
    </row>
    <row r="190" spans="2:7" x14ac:dyDescent="0.45">
      <c r="B190" s="18"/>
      <c r="C190" s="21"/>
      <c r="D190" s="2" t="s">
        <v>81</v>
      </c>
      <c r="E190" s="23"/>
      <c r="F190" s="3"/>
      <c r="G190" s="6"/>
    </row>
    <row r="191" spans="2:7" x14ac:dyDescent="0.45">
      <c r="B191" s="18"/>
      <c r="C191" s="18"/>
      <c r="D191" s="2" t="s">
        <v>84</v>
      </c>
      <c r="E191" s="23"/>
      <c r="F191" s="3"/>
      <c r="G191" s="6"/>
    </row>
    <row r="192" spans="2:7" x14ac:dyDescent="0.45">
      <c r="B192" s="18"/>
      <c r="C192" s="22"/>
      <c r="D192" s="2" t="s">
        <v>60</v>
      </c>
      <c r="E192" s="23"/>
      <c r="F192" s="3"/>
      <c r="G192" s="6"/>
    </row>
    <row r="193" spans="2:7" ht="90" x14ac:dyDescent="0.45">
      <c r="B193" s="12"/>
      <c r="C193" s="1" t="s">
        <v>116</v>
      </c>
      <c r="D193" s="2" t="s">
        <v>67</v>
      </c>
      <c r="E193" s="23"/>
      <c r="F193" s="3" t="s">
        <v>119</v>
      </c>
      <c r="G193" s="6"/>
    </row>
    <row r="194" spans="2:7" x14ac:dyDescent="0.45">
      <c r="B194" s="18"/>
      <c r="D194" s="2" t="s">
        <v>57</v>
      </c>
      <c r="E194" s="23"/>
      <c r="F194" s="3"/>
      <c r="G194" s="6"/>
    </row>
    <row r="195" spans="2:7" x14ac:dyDescent="0.45">
      <c r="B195" s="18"/>
      <c r="D195" s="2" t="s">
        <v>58</v>
      </c>
      <c r="E195" s="23"/>
      <c r="F195" s="3"/>
      <c r="G195" s="6"/>
    </row>
    <row r="196" spans="2:7" x14ac:dyDescent="0.45">
      <c r="B196" s="18"/>
      <c r="D196" s="2" t="s">
        <v>59</v>
      </c>
      <c r="E196" s="23"/>
      <c r="F196" s="3"/>
      <c r="G196" s="6"/>
    </row>
    <row r="197" spans="2:7" x14ac:dyDescent="0.45">
      <c r="B197" s="18"/>
      <c r="D197" s="2" t="s">
        <v>78</v>
      </c>
      <c r="E197" s="23"/>
      <c r="F197" s="3"/>
      <c r="G197" s="6"/>
    </row>
    <row r="198" spans="2:7" x14ac:dyDescent="0.45">
      <c r="B198" s="18"/>
      <c r="D198" s="2" t="s">
        <v>81</v>
      </c>
      <c r="E198" s="23"/>
      <c r="F198" s="3"/>
      <c r="G198" s="6"/>
    </row>
    <row r="199" spans="2:7" x14ac:dyDescent="0.45">
      <c r="B199" s="18"/>
      <c r="C199" s="18"/>
      <c r="D199" s="2" t="s">
        <v>84</v>
      </c>
      <c r="E199" s="23"/>
      <c r="F199" s="3"/>
      <c r="G199" s="6"/>
    </row>
    <row r="200" spans="2:7" x14ac:dyDescent="0.45">
      <c r="B200" s="18"/>
      <c r="C200" s="9"/>
      <c r="D200" s="2" t="s">
        <v>60</v>
      </c>
      <c r="E200" s="23"/>
      <c r="F200" s="3"/>
      <c r="G200" s="6"/>
    </row>
    <row r="201" spans="2:7" ht="90" x14ac:dyDescent="0.45">
      <c r="B201" s="18"/>
      <c r="C201" s="1" t="s">
        <v>117</v>
      </c>
      <c r="D201" s="2" t="s">
        <v>67</v>
      </c>
      <c r="E201" s="23"/>
      <c r="F201" s="3" t="s">
        <v>118</v>
      </c>
      <c r="G201" s="6"/>
    </row>
    <row r="202" spans="2:7" x14ac:dyDescent="0.45">
      <c r="B202" s="18"/>
      <c r="D202" s="2" t="s">
        <v>57</v>
      </c>
      <c r="E202" s="23"/>
      <c r="F202" s="3"/>
      <c r="G202" s="6"/>
    </row>
    <row r="203" spans="2:7" x14ac:dyDescent="0.45">
      <c r="B203" s="18"/>
      <c r="D203" s="2" t="s">
        <v>58</v>
      </c>
      <c r="E203" s="23"/>
      <c r="F203" s="3"/>
      <c r="G203" s="6"/>
    </row>
    <row r="204" spans="2:7" x14ac:dyDescent="0.45">
      <c r="B204" s="18"/>
      <c r="D204" s="2" t="s">
        <v>59</v>
      </c>
      <c r="E204" s="23"/>
      <c r="F204" s="3"/>
      <c r="G204" s="6"/>
    </row>
    <row r="205" spans="2:7" x14ac:dyDescent="0.45">
      <c r="B205" s="18"/>
      <c r="D205" s="2" t="s">
        <v>78</v>
      </c>
      <c r="E205" s="23"/>
      <c r="F205" s="3"/>
      <c r="G205" s="6"/>
    </row>
    <row r="206" spans="2:7" x14ac:dyDescent="0.45">
      <c r="B206" s="18"/>
      <c r="D206" s="2" t="s">
        <v>81</v>
      </c>
      <c r="E206" s="23"/>
      <c r="F206" s="3"/>
      <c r="G206" s="6"/>
    </row>
    <row r="207" spans="2:7" x14ac:dyDescent="0.45">
      <c r="B207" s="18"/>
      <c r="C207" s="18"/>
      <c r="D207" s="2" t="s">
        <v>84</v>
      </c>
      <c r="E207" s="23"/>
      <c r="F207" s="3"/>
      <c r="G207" s="6"/>
    </row>
    <row r="208" spans="2:7" x14ac:dyDescent="0.45">
      <c r="B208" s="19"/>
      <c r="D208" s="2" t="s">
        <v>60</v>
      </c>
      <c r="E208" s="23"/>
      <c r="F208" s="3"/>
      <c r="G208" s="6"/>
    </row>
    <row r="209" spans="2:7" ht="36" x14ac:dyDescent="0.45">
      <c r="B209" s="11" t="s">
        <v>53</v>
      </c>
      <c r="C209" s="2" t="s">
        <v>74</v>
      </c>
      <c r="D209" s="2" t="s">
        <v>68</v>
      </c>
      <c r="E209" s="23"/>
      <c r="F209" s="3" t="s">
        <v>71</v>
      </c>
      <c r="G209" s="6">
        <v>0</v>
      </c>
    </row>
    <row r="210" spans="2:7" ht="90" x14ac:dyDescent="0.45">
      <c r="B210" s="12"/>
      <c r="C210" s="1" t="s">
        <v>114</v>
      </c>
      <c r="D210" s="2" t="s">
        <v>67</v>
      </c>
      <c r="E210" s="23"/>
      <c r="F210" s="3" t="s">
        <v>120</v>
      </c>
      <c r="G210" s="6"/>
    </row>
    <row r="211" spans="2:7" x14ac:dyDescent="0.45">
      <c r="B211" s="18"/>
      <c r="D211" s="2" t="s">
        <v>57</v>
      </c>
      <c r="E211" s="23"/>
      <c r="F211" s="3"/>
      <c r="G211" s="6"/>
    </row>
    <row r="212" spans="2:7" x14ac:dyDescent="0.45">
      <c r="B212" s="18"/>
      <c r="D212" s="2" t="s">
        <v>58</v>
      </c>
      <c r="E212" s="23"/>
      <c r="F212" s="3"/>
      <c r="G212" s="6"/>
    </row>
    <row r="213" spans="2:7" x14ac:dyDescent="0.45">
      <c r="B213" s="18"/>
      <c r="D213" s="2" t="s">
        <v>59</v>
      </c>
      <c r="E213" s="23"/>
      <c r="F213" s="3"/>
      <c r="G213" s="6"/>
    </row>
    <row r="214" spans="2:7" x14ac:dyDescent="0.45">
      <c r="B214" s="18"/>
      <c r="D214" s="2" t="s">
        <v>78</v>
      </c>
      <c r="E214" s="23"/>
      <c r="F214" s="3"/>
      <c r="G214" s="6"/>
    </row>
    <row r="215" spans="2:7" x14ac:dyDescent="0.45">
      <c r="B215" s="18"/>
      <c r="D215" s="2" t="s">
        <v>81</v>
      </c>
      <c r="E215" s="23"/>
      <c r="F215" s="3"/>
      <c r="G215" s="6"/>
    </row>
    <row r="216" spans="2:7" x14ac:dyDescent="0.45">
      <c r="B216" s="18"/>
      <c r="C216" s="18"/>
      <c r="D216" s="2" t="s">
        <v>84</v>
      </c>
      <c r="E216" s="23"/>
      <c r="F216" s="3"/>
      <c r="G216" s="6"/>
    </row>
    <row r="217" spans="2:7" x14ac:dyDescent="0.45">
      <c r="B217" s="18"/>
      <c r="D217" s="2" t="s">
        <v>60</v>
      </c>
      <c r="E217" s="23"/>
      <c r="F217" s="3"/>
      <c r="G217" s="6"/>
    </row>
    <row r="218" spans="2:7" ht="90" x14ac:dyDescent="0.45">
      <c r="B218" s="12"/>
      <c r="C218" s="20" t="s">
        <v>115</v>
      </c>
      <c r="D218" s="2" t="s">
        <v>67</v>
      </c>
      <c r="E218" s="23"/>
      <c r="F218" s="3" t="s">
        <v>156</v>
      </c>
      <c r="G218" s="6"/>
    </row>
    <row r="219" spans="2:7" x14ac:dyDescent="0.45">
      <c r="B219" s="18"/>
      <c r="C219" s="21"/>
      <c r="D219" s="2" t="s">
        <v>57</v>
      </c>
      <c r="E219" s="23"/>
      <c r="F219" s="3"/>
      <c r="G219" s="6"/>
    </row>
    <row r="220" spans="2:7" x14ac:dyDescent="0.45">
      <c r="B220" s="18"/>
      <c r="C220" s="21"/>
      <c r="D220" s="2" t="s">
        <v>58</v>
      </c>
      <c r="E220" s="23"/>
      <c r="F220" s="3"/>
      <c r="G220" s="6"/>
    </row>
    <row r="221" spans="2:7" x14ac:dyDescent="0.45">
      <c r="B221" s="18"/>
      <c r="C221" s="21"/>
      <c r="D221" s="2" t="s">
        <v>59</v>
      </c>
      <c r="E221" s="23"/>
      <c r="F221" s="3"/>
      <c r="G221" s="6"/>
    </row>
    <row r="222" spans="2:7" x14ac:dyDescent="0.45">
      <c r="B222" s="18"/>
      <c r="C222" s="21"/>
      <c r="D222" s="2" t="s">
        <v>78</v>
      </c>
      <c r="E222" s="23"/>
      <c r="F222" s="3"/>
      <c r="G222" s="6"/>
    </row>
    <row r="223" spans="2:7" x14ac:dyDescent="0.45">
      <c r="B223" s="18"/>
      <c r="C223" s="21"/>
      <c r="D223" s="2" t="s">
        <v>81</v>
      </c>
      <c r="E223" s="23"/>
      <c r="F223" s="3"/>
      <c r="G223" s="6"/>
    </row>
    <row r="224" spans="2:7" x14ac:dyDescent="0.45">
      <c r="B224" s="18"/>
      <c r="C224" s="18"/>
      <c r="D224" s="2" t="s">
        <v>84</v>
      </c>
      <c r="E224" s="23"/>
      <c r="F224" s="3"/>
      <c r="G224" s="6"/>
    </row>
    <row r="225" spans="2:7" x14ac:dyDescent="0.45">
      <c r="B225" s="18"/>
      <c r="C225" s="22"/>
      <c r="D225" s="2" t="s">
        <v>60</v>
      </c>
      <c r="E225" s="23"/>
      <c r="F225" s="3"/>
      <c r="G225" s="6"/>
    </row>
    <row r="226" spans="2:7" ht="90" x14ac:dyDescent="0.45">
      <c r="B226" s="12"/>
      <c r="C226" s="1" t="s">
        <v>143</v>
      </c>
      <c r="D226" s="2" t="s">
        <v>67</v>
      </c>
      <c r="E226" s="23"/>
      <c r="F226" s="3" t="s">
        <v>144</v>
      </c>
      <c r="G226" s="6"/>
    </row>
    <row r="227" spans="2:7" x14ac:dyDescent="0.45">
      <c r="B227" s="18"/>
      <c r="D227" s="2" t="s">
        <v>57</v>
      </c>
      <c r="E227" s="23"/>
      <c r="F227" s="3"/>
      <c r="G227" s="6"/>
    </row>
    <row r="228" spans="2:7" x14ac:dyDescent="0.45">
      <c r="B228" s="18"/>
      <c r="D228" s="2" t="s">
        <v>58</v>
      </c>
      <c r="E228" s="23"/>
      <c r="F228" s="3"/>
      <c r="G228" s="6"/>
    </row>
    <row r="229" spans="2:7" x14ac:dyDescent="0.45">
      <c r="B229" s="18"/>
      <c r="D229" s="2" t="s">
        <v>59</v>
      </c>
      <c r="E229" s="23"/>
      <c r="F229" s="3"/>
      <c r="G229" s="6"/>
    </row>
    <row r="230" spans="2:7" x14ac:dyDescent="0.45">
      <c r="B230" s="18"/>
      <c r="D230" s="2" t="s">
        <v>78</v>
      </c>
      <c r="E230" s="23"/>
      <c r="F230" s="3"/>
      <c r="G230" s="6"/>
    </row>
    <row r="231" spans="2:7" x14ac:dyDescent="0.45">
      <c r="B231" s="18"/>
      <c r="D231" s="2" t="s">
        <v>81</v>
      </c>
      <c r="E231" s="23"/>
      <c r="F231" s="3"/>
      <c r="G231" s="6"/>
    </row>
    <row r="232" spans="2:7" x14ac:dyDescent="0.45">
      <c r="B232" s="18"/>
      <c r="C232" s="18"/>
      <c r="D232" s="2" t="s">
        <v>84</v>
      </c>
      <c r="E232" s="23"/>
      <c r="F232" s="3"/>
      <c r="G232" s="6"/>
    </row>
    <row r="233" spans="2:7" x14ac:dyDescent="0.45">
      <c r="B233" s="18"/>
      <c r="C233" s="9"/>
      <c r="D233" s="2" t="s">
        <v>60</v>
      </c>
      <c r="E233" s="23"/>
      <c r="F233" s="3"/>
      <c r="G233" s="6"/>
    </row>
    <row r="234" spans="2:7" x14ac:dyDescent="0.45">
      <c r="B234" s="18"/>
      <c r="C234" s="1" t="s">
        <v>145</v>
      </c>
      <c r="D234" s="2" t="s">
        <v>67</v>
      </c>
      <c r="E234" s="23"/>
      <c r="F234" s="3" t="s">
        <v>164</v>
      </c>
      <c r="G234" s="6"/>
    </row>
    <row r="235" spans="2:7" x14ac:dyDescent="0.45">
      <c r="B235" s="18"/>
      <c r="D235" s="2" t="s">
        <v>57</v>
      </c>
      <c r="E235" s="23"/>
      <c r="F235" s="3"/>
      <c r="G235" s="6"/>
    </row>
    <row r="236" spans="2:7" x14ac:dyDescent="0.45">
      <c r="B236" s="18"/>
      <c r="D236" s="2" t="s">
        <v>58</v>
      </c>
      <c r="E236" s="23"/>
      <c r="F236" s="3"/>
      <c r="G236" s="6"/>
    </row>
    <row r="237" spans="2:7" x14ac:dyDescent="0.45">
      <c r="B237" s="18"/>
      <c r="D237" s="2" t="s">
        <v>59</v>
      </c>
      <c r="E237" s="23"/>
      <c r="F237" s="3"/>
      <c r="G237" s="6"/>
    </row>
    <row r="238" spans="2:7" x14ac:dyDescent="0.45">
      <c r="B238" s="18"/>
      <c r="D238" s="2" t="s">
        <v>78</v>
      </c>
      <c r="E238" s="23"/>
      <c r="F238" s="3"/>
      <c r="G238" s="6"/>
    </row>
    <row r="239" spans="2:7" x14ac:dyDescent="0.45">
      <c r="B239" s="18"/>
      <c r="D239" s="2" t="s">
        <v>81</v>
      </c>
      <c r="E239" s="23"/>
      <c r="F239" s="3"/>
      <c r="G239" s="6"/>
    </row>
    <row r="240" spans="2:7" x14ac:dyDescent="0.45">
      <c r="B240" s="18"/>
      <c r="C240" s="18"/>
      <c r="D240" s="2" t="s">
        <v>84</v>
      </c>
      <c r="E240" s="23"/>
      <c r="F240" s="3"/>
      <c r="G240" s="6"/>
    </row>
    <row r="241" spans="2:7" x14ac:dyDescent="0.45">
      <c r="B241" s="18"/>
      <c r="C241" s="9"/>
      <c r="D241" s="2" t="s">
        <v>60</v>
      </c>
      <c r="E241" s="23"/>
      <c r="F241" s="3"/>
      <c r="G241" s="6"/>
    </row>
    <row r="242" spans="2:7" ht="90" x14ac:dyDescent="0.45">
      <c r="B242" s="18"/>
      <c r="C242" s="1" t="s">
        <v>116</v>
      </c>
      <c r="D242" s="2" t="s">
        <v>67</v>
      </c>
      <c r="E242" s="23"/>
      <c r="F242" s="3" t="s">
        <v>119</v>
      </c>
      <c r="G242" s="6"/>
    </row>
    <row r="243" spans="2:7" x14ac:dyDescent="0.45">
      <c r="B243" s="18"/>
      <c r="D243" s="2" t="s">
        <v>57</v>
      </c>
      <c r="E243" s="23"/>
      <c r="F243" s="3"/>
      <c r="G243" s="6"/>
    </row>
    <row r="244" spans="2:7" x14ac:dyDescent="0.45">
      <c r="B244" s="18"/>
      <c r="D244" s="2" t="s">
        <v>58</v>
      </c>
      <c r="E244" s="23"/>
      <c r="F244" s="3"/>
      <c r="G244" s="6"/>
    </row>
    <row r="245" spans="2:7" x14ac:dyDescent="0.45">
      <c r="B245" s="18"/>
      <c r="D245" s="2" t="s">
        <v>59</v>
      </c>
      <c r="E245" s="23"/>
      <c r="F245" s="3"/>
      <c r="G245" s="6"/>
    </row>
    <row r="246" spans="2:7" x14ac:dyDescent="0.45">
      <c r="B246" s="18"/>
      <c r="D246" s="2" t="s">
        <v>78</v>
      </c>
      <c r="E246" s="23"/>
      <c r="F246" s="3"/>
      <c r="G246" s="6"/>
    </row>
    <row r="247" spans="2:7" x14ac:dyDescent="0.45">
      <c r="B247" s="18"/>
      <c r="D247" s="2" t="s">
        <v>81</v>
      </c>
      <c r="E247" s="23"/>
      <c r="F247" s="3"/>
      <c r="G247" s="6"/>
    </row>
    <row r="248" spans="2:7" x14ac:dyDescent="0.45">
      <c r="B248" s="18"/>
      <c r="C248" s="18"/>
      <c r="D248" s="2" t="s">
        <v>84</v>
      </c>
      <c r="E248" s="23"/>
      <c r="F248" s="3"/>
      <c r="G248" s="6"/>
    </row>
    <row r="249" spans="2:7" x14ac:dyDescent="0.45">
      <c r="B249" s="18"/>
      <c r="C249" s="9"/>
      <c r="D249" s="2" t="s">
        <v>60</v>
      </c>
      <c r="E249" s="23"/>
      <c r="F249" s="3"/>
      <c r="G249" s="6"/>
    </row>
    <row r="250" spans="2:7" ht="90" x14ac:dyDescent="0.45">
      <c r="B250" s="18"/>
      <c r="C250" s="1" t="s">
        <v>117</v>
      </c>
      <c r="D250" s="2" t="s">
        <v>67</v>
      </c>
      <c r="E250" s="23"/>
      <c r="F250" s="3" t="s">
        <v>118</v>
      </c>
      <c r="G250" s="6"/>
    </row>
    <row r="251" spans="2:7" x14ac:dyDescent="0.45">
      <c r="B251" s="18"/>
      <c r="D251" s="2" t="s">
        <v>57</v>
      </c>
      <c r="E251" s="23"/>
      <c r="F251" s="3"/>
      <c r="G251" s="6"/>
    </row>
    <row r="252" spans="2:7" x14ac:dyDescent="0.45">
      <c r="B252" s="18"/>
      <c r="D252" s="2" t="s">
        <v>58</v>
      </c>
      <c r="E252" s="23"/>
      <c r="F252" s="3"/>
      <c r="G252" s="6"/>
    </row>
    <row r="253" spans="2:7" x14ac:dyDescent="0.45">
      <c r="B253" s="18"/>
      <c r="D253" s="2" t="s">
        <v>59</v>
      </c>
      <c r="E253" s="23"/>
      <c r="F253" s="3"/>
      <c r="G253" s="6"/>
    </row>
    <row r="254" spans="2:7" x14ac:dyDescent="0.45">
      <c r="B254" s="18"/>
      <c r="D254" s="2" t="s">
        <v>78</v>
      </c>
      <c r="E254" s="23"/>
      <c r="F254" s="3"/>
      <c r="G254" s="6"/>
    </row>
    <row r="255" spans="2:7" x14ac:dyDescent="0.45">
      <c r="B255" s="18"/>
      <c r="D255" s="2" t="s">
        <v>81</v>
      </c>
      <c r="E255" s="23"/>
      <c r="F255" s="3"/>
      <c r="G255" s="6"/>
    </row>
    <row r="256" spans="2:7" x14ac:dyDescent="0.45">
      <c r="B256" s="18"/>
      <c r="C256" s="18"/>
      <c r="D256" s="2" t="s">
        <v>84</v>
      </c>
      <c r="E256" s="23"/>
      <c r="F256" s="3"/>
      <c r="G256" s="6"/>
    </row>
    <row r="257" spans="2:7" x14ac:dyDescent="0.45">
      <c r="B257" s="19"/>
      <c r="D257" s="2" t="s">
        <v>60</v>
      </c>
      <c r="E257" s="23"/>
      <c r="F257" s="3"/>
      <c r="G257" s="6"/>
    </row>
    <row r="258" spans="2:7" ht="36" x14ac:dyDescent="0.45">
      <c r="B258" s="11" t="s">
        <v>54</v>
      </c>
      <c r="C258" s="2" t="s">
        <v>74</v>
      </c>
      <c r="D258" s="2" t="s">
        <v>68</v>
      </c>
      <c r="E258" s="23"/>
      <c r="F258" s="3" t="s">
        <v>149</v>
      </c>
      <c r="G258" s="6">
        <v>0</v>
      </c>
    </row>
    <row r="259" spans="2:7" ht="108" x14ac:dyDescent="0.45">
      <c r="B259" s="12"/>
      <c r="C259" s="1" t="s">
        <v>146</v>
      </c>
      <c r="D259" s="2" t="s">
        <v>67</v>
      </c>
      <c r="E259" s="23"/>
      <c r="F259" s="3" t="s">
        <v>152</v>
      </c>
      <c r="G259" s="6"/>
    </row>
    <row r="260" spans="2:7" x14ac:dyDescent="0.45">
      <c r="B260" s="18"/>
      <c r="D260" s="2" t="s">
        <v>57</v>
      </c>
      <c r="E260" s="23"/>
      <c r="G260" s="6"/>
    </row>
    <row r="261" spans="2:7" x14ac:dyDescent="0.45">
      <c r="B261" s="18"/>
      <c r="D261" s="2" t="s">
        <v>58</v>
      </c>
      <c r="E261" s="23"/>
      <c r="F261" s="3"/>
      <c r="G261" s="6"/>
    </row>
    <row r="262" spans="2:7" x14ac:dyDescent="0.45">
      <c r="B262" s="18"/>
      <c r="D262" s="2" t="s">
        <v>59</v>
      </c>
      <c r="E262" s="23"/>
      <c r="F262" s="3"/>
      <c r="G262" s="6"/>
    </row>
    <row r="263" spans="2:7" x14ac:dyDescent="0.45">
      <c r="B263" s="18"/>
      <c r="D263" s="2" t="s">
        <v>78</v>
      </c>
      <c r="E263" s="23"/>
      <c r="F263" s="3"/>
      <c r="G263" s="6"/>
    </row>
    <row r="264" spans="2:7" x14ac:dyDescent="0.45">
      <c r="B264" s="18"/>
      <c r="D264" s="2" t="s">
        <v>81</v>
      </c>
      <c r="E264" s="23"/>
      <c r="F264" s="3"/>
      <c r="G264" s="6"/>
    </row>
    <row r="265" spans="2:7" x14ac:dyDescent="0.45">
      <c r="B265" s="18"/>
      <c r="C265" s="18"/>
      <c r="D265" s="2" t="s">
        <v>84</v>
      </c>
      <c r="E265" s="23"/>
      <c r="F265" s="3"/>
      <c r="G265" s="6"/>
    </row>
    <row r="266" spans="2:7" x14ac:dyDescent="0.45">
      <c r="B266" s="18"/>
      <c r="D266" s="2" t="s">
        <v>60</v>
      </c>
      <c r="E266" s="23"/>
      <c r="F266" s="3"/>
      <c r="G266" s="6"/>
    </row>
    <row r="267" spans="2:7" ht="90" x14ac:dyDescent="0.45">
      <c r="B267" s="12"/>
      <c r="C267" s="20" t="s">
        <v>147</v>
      </c>
      <c r="D267" s="2" t="s">
        <v>67</v>
      </c>
      <c r="E267" s="23"/>
      <c r="F267" s="3" t="s">
        <v>151</v>
      </c>
      <c r="G267" s="6"/>
    </row>
    <row r="268" spans="2:7" x14ac:dyDescent="0.45">
      <c r="B268" s="18"/>
      <c r="C268" s="21"/>
      <c r="D268" s="2" t="s">
        <v>57</v>
      </c>
      <c r="E268" s="23"/>
      <c r="F268" s="3"/>
      <c r="G268" s="6"/>
    </row>
    <row r="269" spans="2:7" x14ac:dyDescent="0.45">
      <c r="B269" s="18"/>
      <c r="C269" s="21"/>
      <c r="D269" s="2" t="s">
        <v>58</v>
      </c>
      <c r="E269" s="23"/>
      <c r="F269" s="3"/>
      <c r="G269" s="6"/>
    </row>
    <row r="270" spans="2:7" x14ac:dyDescent="0.45">
      <c r="B270" s="18"/>
      <c r="C270" s="21"/>
      <c r="D270" s="2" t="s">
        <v>59</v>
      </c>
      <c r="E270" s="23"/>
      <c r="F270" s="3"/>
      <c r="G270" s="6"/>
    </row>
    <row r="271" spans="2:7" x14ac:dyDescent="0.45">
      <c r="B271" s="18"/>
      <c r="C271" s="21"/>
      <c r="D271" s="2" t="s">
        <v>78</v>
      </c>
      <c r="E271" s="23"/>
      <c r="F271" s="3"/>
      <c r="G271" s="6"/>
    </row>
    <row r="272" spans="2:7" x14ac:dyDescent="0.45">
      <c r="B272" s="18"/>
      <c r="C272" s="21"/>
      <c r="D272" s="2" t="s">
        <v>81</v>
      </c>
      <c r="E272" s="23"/>
      <c r="F272" s="3"/>
      <c r="G272" s="6"/>
    </row>
    <row r="273" spans="2:7" x14ac:dyDescent="0.45">
      <c r="B273" s="18"/>
      <c r="C273" s="18"/>
      <c r="D273" s="2" t="s">
        <v>84</v>
      </c>
      <c r="E273" s="23"/>
      <c r="F273" s="3"/>
      <c r="G273" s="6"/>
    </row>
    <row r="274" spans="2:7" x14ac:dyDescent="0.45">
      <c r="B274" s="18"/>
      <c r="C274" s="22"/>
      <c r="D274" s="2" t="s">
        <v>60</v>
      </c>
      <c r="E274" s="23"/>
      <c r="F274" s="3"/>
      <c r="G274" s="6"/>
    </row>
    <row r="275" spans="2:7" ht="90" x14ac:dyDescent="0.45">
      <c r="B275" s="18"/>
      <c r="C275" s="20" t="s">
        <v>116</v>
      </c>
      <c r="D275" s="2" t="s">
        <v>67</v>
      </c>
      <c r="E275" s="23"/>
      <c r="F275" s="3" t="s">
        <v>155</v>
      </c>
      <c r="G275" s="6"/>
    </row>
    <row r="276" spans="2:7" x14ac:dyDescent="0.45">
      <c r="B276" s="18"/>
      <c r="C276" s="21"/>
      <c r="D276" s="2" t="s">
        <v>57</v>
      </c>
      <c r="E276" s="23"/>
      <c r="F276" s="3"/>
      <c r="G276" s="6"/>
    </row>
    <row r="277" spans="2:7" x14ac:dyDescent="0.45">
      <c r="B277" s="18"/>
      <c r="C277" s="21"/>
      <c r="D277" s="2" t="s">
        <v>58</v>
      </c>
      <c r="E277" s="23"/>
      <c r="F277" s="3"/>
      <c r="G277" s="6"/>
    </row>
    <row r="278" spans="2:7" x14ac:dyDescent="0.45">
      <c r="B278" s="18"/>
      <c r="C278" s="21"/>
      <c r="D278" s="2" t="s">
        <v>59</v>
      </c>
      <c r="E278" s="23"/>
      <c r="F278" s="3"/>
      <c r="G278" s="6"/>
    </row>
    <row r="279" spans="2:7" x14ac:dyDescent="0.45">
      <c r="B279" s="18"/>
      <c r="C279" s="21"/>
      <c r="D279" s="2" t="s">
        <v>78</v>
      </c>
      <c r="E279" s="23"/>
      <c r="F279" s="3"/>
      <c r="G279" s="6"/>
    </row>
    <row r="280" spans="2:7" x14ac:dyDescent="0.45">
      <c r="B280" s="18"/>
      <c r="C280" s="21"/>
      <c r="D280" s="2" t="s">
        <v>81</v>
      </c>
      <c r="E280" s="23"/>
      <c r="F280" s="3"/>
      <c r="G280" s="6"/>
    </row>
    <row r="281" spans="2:7" x14ac:dyDescent="0.45">
      <c r="B281" s="18"/>
      <c r="C281" s="18"/>
      <c r="D281" s="2" t="s">
        <v>84</v>
      </c>
      <c r="E281" s="23"/>
      <c r="F281" s="3"/>
      <c r="G281" s="6"/>
    </row>
    <row r="282" spans="2:7" x14ac:dyDescent="0.45">
      <c r="B282" s="18"/>
      <c r="C282" s="22"/>
      <c r="D282" s="2" t="s">
        <v>60</v>
      </c>
      <c r="E282" s="23"/>
      <c r="F282" s="3"/>
      <c r="G282" s="6"/>
    </row>
    <row r="283" spans="2:7" ht="90" x14ac:dyDescent="0.45">
      <c r="B283" s="18"/>
      <c r="C283" s="1" t="s">
        <v>148</v>
      </c>
      <c r="D283" s="2" t="s">
        <v>67</v>
      </c>
      <c r="E283" s="23"/>
      <c r="F283" s="3" t="s">
        <v>153</v>
      </c>
      <c r="G283" s="6"/>
    </row>
    <row r="284" spans="2:7" x14ac:dyDescent="0.45">
      <c r="B284" s="18"/>
      <c r="D284" s="2" t="s">
        <v>57</v>
      </c>
      <c r="E284" s="23"/>
      <c r="G284" s="6"/>
    </row>
    <row r="285" spans="2:7" x14ac:dyDescent="0.45">
      <c r="B285" s="18"/>
      <c r="D285" s="2" t="s">
        <v>58</v>
      </c>
      <c r="E285" s="23"/>
      <c r="F285" s="3"/>
      <c r="G285" s="6"/>
    </row>
    <row r="286" spans="2:7" x14ac:dyDescent="0.45">
      <c r="B286" s="18"/>
      <c r="D286" s="2" t="s">
        <v>59</v>
      </c>
      <c r="E286" s="23"/>
      <c r="F286" s="3"/>
      <c r="G286" s="6"/>
    </row>
    <row r="287" spans="2:7" x14ac:dyDescent="0.45">
      <c r="B287" s="18"/>
      <c r="D287" s="2" t="s">
        <v>78</v>
      </c>
      <c r="E287" s="23"/>
      <c r="F287" s="3"/>
      <c r="G287" s="6"/>
    </row>
    <row r="288" spans="2:7" x14ac:dyDescent="0.45">
      <c r="B288" s="18"/>
      <c r="D288" s="2" t="s">
        <v>81</v>
      </c>
      <c r="E288" s="23"/>
      <c r="F288" s="3"/>
      <c r="G288" s="6"/>
    </row>
    <row r="289" spans="2:7" x14ac:dyDescent="0.45">
      <c r="B289" s="18"/>
      <c r="C289" s="18"/>
      <c r="D289" s="2" t="s">
        <v>84</v>
      </c>
      <c r="E289" s="23"/>
      <c r="F289" s="3"/>
      <c r="G289" s="6"/>
    </row>
    <row r="290" spans="2:7" x14ac:dyDescent="0.45">
      <c r="B290" s="18"/>
      <c r="C290" s="9"/>
      <c r="D290" s="2" t="s">
        <v>60</v>
      </c>
      <c r="E290" s="23"/>
      <c r="F290" s="3"/>
      <c r="G290" s="6"/>
    </row>
    <row r="291" spans="2:7" ht="90" x14ac:dyDescent="0.45">
      <c r="B291" s="18"/>
      <c r="C291" s="1" t="s">
        <v>150</v>
      </c>
      <c r="D291" s="2" t="s">
        <v>67</v>
      </c>
      <c r="E291" s="23"/>
      <c r="F291" s="3" t="s">
        <v>154</v>
      </c>
      <c r="G291" s="6"/>
    </row>
    <row r="292" spans="2:7" x14ac:dyDescent="0.45">
      <c r="B292" s="18"/>
      <c r="D292" s="2" t="s">
        <v>57</v>
      </c>
      <c r="E292" s="23"/>
      <c r="G292" s="6"/>
    </row>
    <row r="293" spans="2:7" x14ac:dyDescent="0.45">
      <c r="B293" s="18"/>
      <c r="D293" s="2" t="s">
        <v>58</v>
      </c>
      <c r="E293" s="23"/>
      <c r="F293" s="3"/>
      <c r="G293" s="6"/>
    </row>
    <row r="294" spans="2:7" x14ac:dyDescent="0.45">
      <c r="B294" s="18"/>
      <c r="D294" s="2" t="s">
        <v>59</v>
      </c>
      <c r="E294" s="23"/>
      <c r="F294" s="3"/>
      <c r="G294" s="6"/>
    </row>
    <row r="295" spans="2:7" x14ac:dyDescent="0.45">
      <c r="B295" s="18"/>
      <c r="D295" s="2" t="s">
        <v>78</v>
      </c>
      <c r="E295" s="23"/>
      <c r="F295" s="3"/>
      <c r="G295" s="6"/>
    </row>
    <row r="296" spans="2:7" x14ac:dyDescent="0.45">
      <c r="B296" s="18"/>
      <c r="D296" s="2" t="s">
        <v>81</v>
      </c>
      <c r="E296" s="23"/>
      <c r="F296" s="3"/>
      <c r="G296" s="6"/>
    </row>
    <row r="297" spans="2:7" x14ac:dyDescent="0.45">
      <c r="B297" s="18"/>
      <c r="C297" s="18"/>
      <c r="D297" s="2" t="s">
        <v>84</v>
      </c>
      <c r="E297" s="23"/>
      <c r="F297" s="3"/>
      <c r="G297" s="6"/>
    </row>
    <row r="298" spans="2:7" x14ac:dyDescent="0.45">
      <c r="B298" s="18"/>
      <c r="D298" s="2" t="s">
        <v>60</v>
      </c>
      <c r="E298" s="23"/>
      <c r="F298" s="3"/>
      <c r="G298" s="6"/>
    </row>
    <row r="299" spans="2:7" ht="36" x14ac:dyDescent="0.45">
      <c r="B299" s="11" t="s">
        <v>55</v>
      </c>
      <c r="C299" s="2" t="s">
        <v>74</v>
      </c>
      <c r="D299" s="2" t="s">
        <v>68</v>
      </c>
      <c r="E299" s="23" t="s">
        <v>72</v>
      </c>
      <c r="F299" s="3" t="s">
        <v>70</v>
      </c>
      <c r="G299" s="6">
        <v>0</v>
      </c>
    </row>
    <row r="300" spans="2:7" ht="90" x14ac:dyDescent="0.45">
      <c r="B300" s="12"/>
      <c r="C300" s="1" t="s">
        <v>114</v>
      </c>
      <c r="D300" s="2" t="s">
        <v>67</v>
      </c>
      <c r="E300" s="23"/>
      <c r="F300" s="3" t="s">
        <v>120</v>
      </c>
      <c r="G300" s="6"/>
    </row>
    <row r="301" spans="2:7" x14ac:dyDescent="0.45">
      <c r="B301" s="18"/>
      <c r="D301" s="2" t="s">
        <v>57</v>
      </c>
      <c r="E301" s="23"/>
      <c r="F301" s="3"/>
      <c r="G301" s="6"/>
    </row>
    <row r="302" spans="2:7" x14ac:dyDescent="0.45">
      <c r="B302" s="18"/>
      <c r="D302" s="2" t="s">
        <v>58</v>
      </c>
      <c r="E302" s="23"/>
      <c r="F302" s="3"/>
      <c r="G302" s="6"/>
    </row>
    <row r="303" spans="2:7" x14ac:dyDescent="0.45">
      <c r="B303" s="18"/>
      <c r="D303" s="2" t="s">
        <v>59</v>
      </c>
      <c r="E303" s="23"/>
      <c r="F303" s="3"/>
      <c r="G303" s="6"/>
    </row>
    <row r="304" spans="2:7" x14ac:dyDescent="0.45">
      <c r="B304" s="18"/>
      <c r="D304" s="2" t="s">
        <v>78</v>
      </c>
      <c r="E304" s="23"/>
      <c r="F304" s="3"/>
      <c r="G304" s="6"/>
    </row>
    <row r="305" spans="2:7" x14ac:dyDescent="0.45">
      <c r="B305" s="18"/>
      <c r="D305" s="2" t="s">
        <v>81</v>
      </c>
      <c r="E305" s="23"/>
      <c r="F305" s="3"/>
      <c r="G305" s="6"/>
    </row>
    <row r="306" spans="2:7" x14ac:dyDescent="0.45">
      <c r="B306" s="18"/>
      <c r="C306" s="18"/>
      <c r="D306" s="2" t="s">
        <v>84</v>
      </c>
      <c r="E306" s="23"/>
      <c r="F306" s="3"/>
      <c r="G306" s="6"/>
    </row>
    <row r="307" spans="2:7" x14ac:dyDescent="0.45">
      <c r="B307" s="18"/>
      <c r="D307" s="2" t="s">
        <v>60</v>
      </c>
      <c r="E307" s="23"/>
      <c r="F307" s="3"/>
      <c r="G307" s="6"/>
    </row>
    <row r="308" spans="2:7" ht="108" x14ac:dyDescent="0.45">
      <c r="B308" s="12"/>
      <c r="C308" s="20" t="s">
        <v>115</v>
      </c>
      <c r="D308" s="2" t="s">
        <v>67</v>
      </c>
      <c r="E308" s="23"/>
      <c r="F308" s="3" t="s">
        <v>158</v>
      </c>
      <c r="G308" s="6"/>
    </row>
    <row r="309" spans="2:7" x14ac:dyDescent="0.45">
      <c r="B309" s="18"/>
      <c r="C309" s="21"/>
      <c r="D309" s="2" t="s">
        <v>57</v>
      </c>
      <c r="E309" s="23"/>
      <c r="F309" s="3"/>
      <c r="G309" s="6"/>
    </row>
    <row r="310" spans="2:7" x14ac:dyDescent="0.45">
      <c r="B310" s="18"/>
      <c r="C310" s="21"/>
      <c r="D310" s="2" t="s">
        <v>58</v>
      </c>
      <c r="E310" s="23"/>
      <c r="F310" s="3"/>
      <c r="G310" s="6"/>
    </row>
    <row r="311" spans="2:7" x14ac:dyDescent="0.45">
      <c r="B311" s="18"/>
      <c r="C311" s="21"/>
      <c r="D311" s="2" t="s">
        <v>59</v>
      </c>
      <c r="E311" s="23"/>
      <c r="F311" s="3"/>
      <c r="G311" s="6"/>
    </row>
    <row r="312" spans="2:7" x14ac:dyDescent="0.45">
      <c r="B312" s="18"/>
      <c r="C312" s="21"/>
      <c r="D312" s="2" t="s">
        <v>78</v>
      </c>
      <c r="E312" s="23"/>
      <c r="F312" s="3"/>
      <c r="G312" s="6"/>
    </row>
    <row r="313" spans="2:7" x14ac:dyDescent="0.45">
      <c r="B313" s="18"/>
      <c r="C313" s="21"/>
      <c r="D313" s="2" t="s">
        <v>81</v>
      </c>
      <c r="E313" s="23"/>
      <c r="F313" s="3"/>
      <c r="G313" s="6"/>
    </row>
    <row r="314" spans="2:7" x14ac:dyDescent="0.45">
      <c r="B314" s="18"/>
      <c r="C314" s="18"/>
      <c r="D314" s="2" t="s">
        <v>84</v>
      </c>
      <c r="E314" s="23"/>
      <c r="F314" s="3"/>
      <c r="G314" s="6"/>
    </row>
    <row r="315" spans="2:7" x14ac:dyDescent="0.45">
      <c r="B315" s="18"/>
      <c r="C315" s="22"/>
      <c r="D315" s="2" t="s">
        <v>60</v>
      </c>
      <c r="E315" s="23"/>
      <c r="F315" s="3"/>
      <c r="G315" s="6"/>
    </row>
    <row r="316" spans="2:7" ht="90" x14ac:dyDescent="0.45">
      <c r="B316" s="12"/>
      <c r="C316" s="1" t="s">
        <v>143</v>
      </c>
      <c r="D316" s="2" t="s">
        <v>67</v>
      </c>
      <c r="E316" s="23"/>
      <c r="F316" s="3" t="s">
        <v>144</v>
      </c>
      <c r="G316" s="6"/>
    </row>
    <row r="317" spans="2:7" x14ac:dyDescent="0.45">
      <c r="B317" s="18"/>
      <c r="D317" s="2" t="s">
        <v>57</v>
      </c>
      <c r="E317" s="23"/>
      <c r="F317" s="3"/>
      <c r="G317" s="6"/>
    </row>
    <row r="318" spans="2:7" x14ac:dyDescent="0.45">
      <c r="B318" s="18"/>
      <c r="D318" s="2" t="s">
        <v>58</v>
      </c>
      <c r="E318" s="23"/>
      <c r="F318" s="3"/>
      <c r="G318" s="6"/>
    </row>
    <row r="319" spans="2:7" x14ac:dyDescent="0.45">
      <c r="B319" s="18"/>
      <c r="D319" s="2" t="s">
        <v>59</v>
      </c>
      <c r="E319" s="23"/>
      <c r="F319" s="3"/>
      <c r="G319" s="6"/>
    </row>
    <row r="320" spans="2:7" x14ac:dyDescent="0.45">
      <c r="B320" s="18"/>
      <c r="D320" s="2" t="s">
        <v>78</v>
      </c>
      <c r="E320" s="23"/>
      <c r="F320" s="3"/>
      <c r="G320" s="6"/>
    </row>
    <row r="321" spans="2:7" x14ac:dyDescent="0.45">
      <c r="B321" s="18"/>
      <c r="D321" s="2" t="s">
        <v>81</v>
      </c>
      <c r="E321" s="23"/>
      <c r="F321" s="3"/>
      <c r="G321" s="6"/>
    </row>
    <row r="322" spans="2:7" x14ac:dyDescent="0.45">
      <c r="B322" s="18"/>
      <c r="C322" s="18"/>
      <c r="D322" s="2" t="s">
        <v>84</v>
      </c>
      <c r="E322" s="23"/>
      <c r="F322" s="3"/>
      <c r="G322" s="6"/>
    </row>
    <row r="323" spans="2:7" x14ac:dyDescent="0.45">
      <c r="B323" s="18"/>
      <c r="C323" s="9"/>
      <c r="D323" s="2" t="s">
        <v>60</v>
      </c>
      <c r="E323" s="23"/>
      <c r="F323" s="3"/>
      <c r="G323" s="6"/>
    </row>
    <row r="324" spans="2:7" x14ac:dyDescent="0.45">
      <c r="B324" s="12"/>
      <c r="C324" s="1" t="s">
        <v>159</v>
      </c>
      <c r="D324" s="2" t="s">
        <v>67</v>
      </c>
      <c r="E324" s="23"/>
      <c r="F324" s="3" t="s">
        <v>164</v>
      </c>
      <c r="G324" s="6"/>
    </row>
    <row r="325" spans="2:7" x14ac:dyDescent="0.45">
      <c r="B325" s="18"/>
      <c r="D325" s="2" t="s">
        <v>57</v>
      </c>
      <c r="E325" s="23"/>
      <c r="F325" s="3"/>
      <c r="G325" s="6"/>
    </row>
    <row r="326" spans="2:7" x14ac:dyDescent="0.45">
      <c r="B326" s="18"/>
      <c r="D326" s="2" t="s">
        <v>58</v>
      </c>
      <c r="E326" s="23"/>
      <c r="F326" s="3"/>
      <c r="G326" s="6"/>
    </row>
    <row r="327" spans="2:7" x14ac:dyDescent="0.45">
      <c r="B327" s="18"/>
      <c r="D327" s="2" t="s">
        <v>59</v>
      </c>
      <c r="E327" s="23"/>
      <c r="F327" s="3"/>
      <c r="G327" s="6"/>
    </row>
    <row r="328" spans="2:7" x14ac:dyDescent="0.45">
      <c r="B328" s="18"/>
      <c r="D328" s="2" t="s">
        <v>78</v>
      </c>
      <c r="E328" s="23"/>
      <c r="F328" s="3"/>
      <c r="G328" s="6"/>
    </row>
    <row r="329" spans="2:7" x14ac:dyDescent="0.45">
      <c r="B329" s="18"/>
      <c r="D329" s="2" t="s">
        <v>81</v>
      </c>
      <c r="E329" s="23"/>
      <c r="F329" s="3"/>
      <c r="G329" s="6"/>
    </row>
    <row r="330" spans="2:7" x14ac:dyDescent="0.45">
      <c r="B330" s="18"/>
      <c r="C330" s="18"/>
      <c r="D330" s="2" t="s">
        <v>84</v>
      </c>
      <c r="E330" s="23"/>
      <c r="F330" s="3"/>
      <c r="G330" s="6"/>
    </row>
    <row r="331" spans="2:7" x14ac:dyDescent="0.45">
      <c r="B331" s="18"/>
      <c r="C331" s="9"/>
      <c r="D331" s="2" t="s">
        <v>60</v>
      </c>
      <c r="E331" s="23"/>
      <c r="F331" s="3"/>
      <c r="G331" s="6"/>
    </row>
    <row r="332" spans="2:7" ht="90" x14ac:dyDescent="0.45">
      <c r="B332" s="12"/>
      <c r="C332" s="1" t="s">
        <v>116</v>
      </c>
      <c r="D332" s="2" t="s">
        <v>67</v>
      </c>
      <c r="E332" s="23"/>
      <c r="F332" s="3" t="s">
        <v>160</v>
      </c>
      <c r="G332" s="6"/>
    </row>
    <row r="333" spans="2:7" x14ac:dyDescent="0.45">
      <c r="B333" s="18"/>
      <c r="D333" s="2" t="s">
        <v>57</v>
      </c>
      <c r="E333" s="23"/>
      <c r="F333" s="3"/>
      <c r="G333" s="6"/>
    </row>
    <row r="334" spans="2:7" x14ac:dyDescent="0.45">
      <c r="B334" s="18"/>
      <c r="D334" s="2" t="s">
        <v>58</v>
      </c>
      <c r="E334" s="23"/>
      <c r="F334" s="3"/>
      <c r="G334" s="6"/>
    </row>
    <row r="335" spans="2:7" x14ac:dyDescent="0.45">
      <c r="B335" s="18"/>
      <c r="D335" s="2" t="s">
        <v>59</v>
      </c>
      <c r="E335" s="23"/>
      <c r="F335" s="3"/>
      <c r="G335" s="6"/>
    </row>
    <row r="336" spans="2:7" x14ac:dyDescent="0.45">
      <c r="B336" s="18"/>
      <c r="D336" s="2" t="s">
        <v>78</v>
      </c>
      <c r="E336" s="23"/>
      <c r="F336" s="3"/>
      <c r="G336" s="6"/>
    </row>
    <row r="337" spans="2:7" x14ac:dyDescent="0.45">
      <c r="B337" s="18"/>
      <c r="D337" s="2" t="s">
        <v>81</v>
      </c>
      <c r="E337" s="23"/>
      <c r="F337" s="3"/>
      <c r="G337" s="6"/>
    </row>
    <row r="338" spans="2:7" x14ac:dyDescent="0.45">
      <c r="B338" s="18"/>
      <c r="C338" s="18"/>
      <c r="D338" s="2" t="s">
        <v>84</v>
      </c>
      <c r="E338" s="23"/>
      <c r="F338" s="3"/>
      <c r="G338" s="6"/>
    </row>
    <row r="339" spans="2:7" x14ac:dyDescent="0.45">
      <c r="B339" s="18"/>
      <c r="D339" s="2" t="s">
        <v>60</v>
      </c>
      <c r="E339" s="23"/>
      <c r="F339" s="3"/>
      <c r="G339" s="6"/>
    </row>
    <row r="340" spans="2:7" ht="108" x14ac:dyDescent="0.45">
      <c r="B340" s="12"/>
      <c r="C340" s="20" t="s">
        <v>161</v>
      </c>
      <c r="D340" s="2" t="s">
        <v>67</v>
      </c>
      <c r="E340" s="23"/>
      <c r="F340" s="3" t="s">
        <v>162</v>
      </c>
      <c r="G340" s="6"/>
    </row>
    <row r="341" spans="2:7" x14ac:dyDescent="0.45">
      <c r="B341" s="18"/>
      <c r="C341" s="21"/>
      <c r="D341" s="2" t="s">
        <v>57</v>
      </c>
      <c r="E341" s="23"/>
      <c r="F341" s="3"/>
      <c r="G341" s="6"/>
    </row>
    <row r="342" spans="2:7" x14ac:dyDescent="0.45">
      <c r="B342" s="18"/>
      <c r="C342" s="21"/>
      <c r="D342" s="2" t="s">
        <v>58</v>
      </c>
      <c r="E342" s="23"/>
      <c r="F342" s="3"/>
      <c r="G342" s="6"/>
    </row>
    <row r="343" spans="2:7" x14ac:dyDescent="0.45">
      <c r="B343" s="18"/>
      <c r="C343" s="21"/>
      <c r="D343" s="2" t="s">
        <v>59</v>
      </c>
      <c r="E343" s="23"/>
      <c r="F343" s="3"/>
      <c r="G343" s="6"/>
    </row>
    <row r="344" spans="2:7" x14ac:dyDescent="0.45">
      <c r="B344" s="18"/>
      <c r="C344" s="21"/>
      <c r="D344" s="2" t="s">
        <v>78</v>
      </c>
      <c r="E344" s="23"/>
      <c r="F344" s="3"/>
      <c r="G344" s="6"/>
    </row>
    <row r="345" spans="2:7" x14ac:dyDescent="0.45">
      <c r="B345" s="18"/>
      <c r="C345" s="21"/>
      <c r="D345" s="2" t="s">
        <v>81</v>
      </c>
      <c r="E345" s="23"/>
      <c r="F345" s="3"/>
      <c r="G345" s="6"/>
    </row>
    <row r="346" spans="2:7" x14ac:dyDescent="0.45">
      <c r="B346" s="18"/>
      <c r="C346" s="18"/>
      <c r="D346" s="2" t="s">
        <v>84</v>
      </c>
      <c r="E346" s="23"/>
      <c r="F346" s="3"/>
      <c r="G346" s="6"/>
    </row>
    <row r="347" spans="2:7" x14ac:dyDescent="0.45">
      <c r="B347" s="19"/>
      <c r="C347" s="22"/>
      <c r="D347" s="2" t="s">
        <v>60</v>
      </c>
      <c r="E347" s="23"/>
      <c r="F347" s="3"/>
      <c r="G347" s="6"/>
    </row>
    <row r="348" spans="2:7" ht="36" x14ac:dyDescent="0.45">
      <c r="B348" s="17" t="s">
        <v>19</v>
      </c>
      <c r="C348" s="34" t="s">
        <v>74</v>
      </c>
      <c r="D348" s="2" t="s">
        <v>68</v>
      </c>
      <c r="E348" s="23" t="s">
        <v>72</v>
      </c>
      <c r="F348" s="3" t="s">
        <v>70</v>
      </c>
      <c r="G348" s="6"/>
    </row>
    <row r="349" spans="2:7" ht="90" x14ac:dyDescent="0.45">
      <c r="B349" s="18"/>
      <c r="C349" s="1" t="s">
        <v>114</v>
      </c>
      <c r="D349" s="2" t="s">
        <v>67</v>
      </c>
      <c r="E349" s="23"/>
      <c r="F349" s="3" t="s">
        <v>120</v>
      </c>
      <c r="G349" s="6"/>
    </row>
    <row r="350" spans="2:7" x14ac:dyDescent="0.45">
      <c r="B350" s="18"/>
      <c r="D350" s="2" t="s">
        <v>57</v>
      </c>
      <c r="E350" s="23"/>
      <c r="F350" s="3"/>
      <c r="G350" s="6"/>
    </row>
    <row r="351" spans="2:7" x14ac:dyDescent="0.45">
      <c r="B351" s="18"/>
      <c r="D351" s="2" t="s">
        <v>58</v>
      </c>
      <c r="E351" s="23"/>
      <c r="F351" s="3"/>
      <c r="G351" s="6"/>
    </row>
    <row r="352" spans="2:7" x14ac:dyDescent="0.45">
      <c r="B352" s="18"/>
      <c r="D352" s="2" t="s">
        <v>59</v>
      </c>
      <c r="E352" s="23"/>
      <c r="F352" s="3"/>
      <c r="G352" s="6"/>
    </row>
    <row r="353" spans="2:7" x14ac:dyDescent="0.45">
      <c r="B353" s="18"/>
      <c r="D353" s="2" t="s">
        <v>78</v>
      </c>
      <c r="E353" s="23"/>
      <c r="F353" s="3"/>
      <c r="G353" s="6"/>
    </row>
    <row r="354" spans="2:7" x14ac:dyDescent="0.45">
      <c r="B354" s="18"/>
      <c r="D354" s="2" t="s">
        <v>81</v>
      </c>
      <c r="E354" s="23"/>
      <c r="F354" s="3"/>
      <c r="G354" s="6"/>
    </row>
    <row r="355" spans="2:7" x14ac:dyDescent="0.45">
      <c r="B355" s="18"/>
      <c r="C355" s="35"/>
      <c r="D355" s="2" t="s">
        <v>84</v>
      </c>
      <c r="E355" s="23"/>
      <c r="F355" s="3"/>
      <c r="G355" s="6"/>
    </row>
    <row r="356" spans="2:7" x14ac:dyDescent="0.45">
      <c r="B356" s="18"/>
      <c r="D356" s="2" t="s">
        <v>60</v>
      </c>
      <c r="E356" s="23"/>
      <c r="F356" s="3"/>
      <c r="G356" s="6"/>
    </row>
    <row r="357" spans="2:7" ht="108" x14ac:dyDescent="0.45">
      <c r="B357" s="18"/>
      <c r="C357" s="20" t="s">
        <v>115</v>
      </c>
      <c r="D357" s="2" t="s">
        <v>67</v>
      </c>
      <c r="E357" s="23"/>
      <c r="F357" s="3" t="s">
        <v>163</v>
      </c>
      <c r="G357" s="6"/>
    </row>
    <row r="358" spans="2:7" x14ac:dyDescent="0.45">
      <c r="B358" s="18"/>
      <c r="C358" s="21"/>
      <c r="D358" s="2" t="s">
        <v>57</v>
      </c>
      <c r="E358" s="23"/>
      <c r="F358" s="3"/>
      <c r="G358" s="6"/>
    </row>
    <row r="359" spans="2:7" x14ac:dyDescent="0.45">
      <c r="B359" s="18"/>
      <c r="C359" s="21"/>
      <c r="D359" s="2" t="s">
        <v>58</v>
      </c>
      <c r="E359" s="23"/>
      <c r="F359" s="3"/>
      <c r="G359" s="6"/>
    </row>
    <row r="360" spans="2:7" x14ac:dyDescent="0.45">
      <c r="B360" s="18"/>
      <c r="C360" s="21"/>
      <c r="D360" s="2" t="s">
        <v>59</v>
      </c>
      <c r="E360" s="23"/>
      <c r="F360" s="3"/>
      <c r="G360" s="6"/>
    </row>
    <row r="361" spans="2:7" x14ac:dyDescent="0.45">
      <c r="B361" s="18"/>
      <c r="C361" s="21"/>
      <c r="D361" s="2" t="s">
        <v>78</v>
      </c>
      <c r="E361" s="23"/>
      <c r="F361" s="3"/>
      <c r="G361" s="6"/>
    </row>
    <row r="362" spans="2:7" x14ac:dyDescent="0.45">
      <c r="B362" s="18"/>
      <c r="C362" s="21"/>
      <c r="D362" s="2" t="s">
        <v>81</v>
      </c>
      <c r="E362" s="23"/>
      <c r="F362" s="3"/>
      <c r="G362" s="6"/>
    </row>
    <row r="363" spans="2:7" x14ac:dyDescent="0.45">
      <c r="B363" s="18"/>
      <c r="C363" s="35"/>
      <c r="D363" s="2" t="s">
        <v>84</v>
      </c>
      <c r="E363" s="23"/>
      <c r="F363" s="3"/>
      <c r="G363" s="6"/>
    </row>
    <row r="364" spans="2:7" x14ac:dyDescent="0.45">
      <c r="B364" s="18"/>
      <c r="C364" s="22"/>
      <c r="D364" s="2" t="s">
        <v>60</v>
      </c>
      <c r="E364" s="23"/>
      <c r="F364" s="3"/>
      <c r="G364" s="6"/>
    </row>
    <row r="365" spans="2:7" ht="90" x14ac:dyDescent="0.45">
      <c r="B365" s="18"/>
      <c r="C365" s="1" t="s">
        <v>143</v>
      </c>
      <c r="D365" s="2" t="s">
        <v>67</v>
      </c>
      <c r="E365" s="23"/>
      <c r="F365" s="3" t="s">
        <v>144</v>
      </c>
      <c r="G365" s="6"/>
    </row>
    <row r="366" spans="2:7" x14ac:dyDescent="0.45">
      <c r="B366" s="18"/>
      <c r="D366" s="2" t="s">
        <v>57</v>
      </c>
      <c r="E366" s="23"/>
      <c r="F366" s="3"/>
      <c r="G366" s="6"/>
    </row>
    <row r="367" spans="2:7" x14ac:dyDescent="0.45">
      <c r="B367" s="18"/>
      <c r="D367" s="2" t="s">
        <v>58</v>
      </c>
      <c r="E367" s="23"/>
      <c r="F367" s="3"/>
      <c r="G367" s="6"/>
    </row>
    <row r="368" spans="2:7" x14ac:dyDescent="0.45">
      <c r="B368" s="18"/>
      <c r="D368" s="2" t="s">
        <v>59</v>
      </c>
      <c r="E368" s="23"/>
      <c r="F368" s="3"/>
      <c r="G368" s="6"/>
    </row>
    <row r="369" spans="2:7" x14ac:dyDescent="0.45">
      <c r="B369" s="18"/>
      <c r="D369" s="2" t="s">
        <v>78</v>
      </c>
      <c r="E369" s="23"/>
      <c r="F369" s="3"/>
      <c r="G369" s="6"/>
    </row>
    <row r="370" spans="2:7" x14ac:dyDescent="0.45">
      <c r="B370" s="18"/>
      <c r="D370" s="2" t="s">
        <v>81</v>
      </c>
      <c r="E370" s="23"/>
      <c r="F370" s="3"/>
      <c r="G370" s="6"/>
    </row>
    <row r="371" spans="2:7" x14ac:dyDescent="0.45">
      <c r="B371" s="18"/>
      <c r="C371" s="35"/>
      <c r="D371" s="2" t="s">
        <v>84</v>
      </c>
      <c r="E371" s="23"/>
      <c r="F371" s="3"/>
      <c r="G371" s="6"/>
    </row>
    <row r="372" spans="2:7" x14ac:dyDescent="0.45">
      <c r="B372" s="18"/>
      <c r="C372" s="22"/>
      <c r="D372" s="2" t="s">
        <v>60</v>
      </c>
      <c r="E372" s="23"/>
      <c r="F372" s="3"/>
      <c r="G372" s="6"/>
    </row>
    <row r="373" spans="2:7" x14ac:dyDescent="0.45">
      <c r="B373" s="18"/>
      <c r="C373" s="1" t="s">
        <v>159</v>
      </c>
      <c r="D373" s="2" t="s">
        <v>67</v>
      </c>
      <c r="E373" s="23"/>
      <c r="F373" s="3" t="s">
        <v>164</v>
      </c>
      <c r="G373" s="6"/>
    </row>
    <row r="374" spans="2:7" x14ac:dyDescent="0.45">
      <c r="B374" s="18"/>
      <c r="D374" s="2" t="s">
        <v>57</v>
      </c>
      <c r="E374" s="23"/>
      <c r="F374" s="3"/>
      <c r="G374" s="6"/>
    </row>
    <row r="375" spans="2:7" x14ac:dyDescent="0.45">
      <c r="B375" s="18"/>
      <c r="D375" s="2" t="s">
        <v>58</v>
      </c>
      <c r="E375" s="23"/>
      <c r="F375" s="3"/>
      <c r="G375" s="6"/>
    </row>
    <row r="376" spans="2:7" x14ac:dyDescent="0.45">
      <c r="B376" s="18"/>
      <c r="D376" s="2" t="s">
        <v>59</v>
      </c>
      <c r="E376" s="23"/>
      <c r="F376" s="3"/>
      <c r="G376" s="6"/>
    </row>
    <row r="377" spans="2:7" x14ac:dyDescent="0.45">
      <c r="B377" s="18"/>
      <c r="D377" s="2" t="s">
        <v>78</v>
      </c>
      <c r="E377" s="23"/>
      <c r="F377" s="3"/>
      <c r="G377" s="6"/>
    </row>
    <row r="378" spans="2:7" x14ac:dyDescent="0.45">
      <c r="B378" s="18"/>
      <c r="D378" s="2" t="s">
        <v>81</v>
      </c>
      <c r="E378" s="23"/>
      <c r="F378" s="3"/>
      <c r="G378" s="6"/>
    </row>
    <row r="379" spans="2:7" x14ac:dyDescent="0.45">
      <c r="B379" s="18"/>
      <c r="C379" s="35"/>
      <c r="D379" s="2" t="s">
        <v>84</v>
      </c>
      <c r="E379" s="23"/>
      <c r="F379" s="3"/>
      <c r="G379" s="6"/>
    </row>
    <row r="380" spans="2:7" x14ac:dyDescent="0.45">
      <c r="B380" s="18"/>
      <c r="C380" s="22"/>
      <c r="D380" s="2" t="s">
        <v>60</v>
      </c>
      <c r="E380" s="23"/>
      <c r="F380" s="3"/>
      <c r="G380" s="6"/>
    </row>
    <row r="381" spans="2:7" ht="90" x14ac:dyDescent="0.45">
      <c r="B381" s="18"/>
      <c r="C381" s="1" t="s">
        <v>116</v>
      </c>
      <c r="D381" s="2" t="s">
        <v>67</v>
      </c>
      <c r="E381" s="23"/>
      <c r="F381" s="3" t="s">
        <v>160</v>
      </c>
      <c r="G381" s="6"/>
    </row>
    <row r="382" spans="2:7" x14ac:dyDescent="0.45">
      <c r="B382" s="18"/>
      <c r="D382" s="2" t="s">
        <v>57</v>
      </c>
      <c r="E382" s="23"/>
      <c r="F382" s="3"/>
      <c r="G382" s="6"/>
    </row>
    <row r="383" spans="2:7" x14ac:dyDescent="0.45">
      <c r="B383" s="18"/>
      <c r="D383" s="2" t="s">
        <v>58</v>
      </c>
      <c r="E383" s="23"/>
      <c r="F383" s="3"/>
      <c r="G383" s="6"/>
    </row>
    <row r="384" spans="2:7" x14ac:dyDescent="0.45">
      <c r="B384" s="18"/>
      <c r="D384" s="2" t="s">
        <v>59</v>
      </c>
      <c r="E384" s="23"/>
      <c r="F384" s="3"/>
      <c r="G384" s="6"/>
    </row>
    <row r="385" spans="2:7" x14ac:dyDescent="0.45">
      <c r="B385" s="18"/>
      <c r="D385" s="2" t="s">
        <v>78</v>
      </c>
      <c r="E385" s="23"/>
      <c r="F385" s="3"/>
      <c r="G385" s="6"/>
    </row>
    <row r="386" spans="2:7" x14ac:dyDescent="0.45">
      <c r="B386" s="18"/>
      <c r="D386" s="2" t="s">
        <v>81</v>
      </c>
      <c r="E386" s="23"/>
      <c r="F386" s="3"/>
      <c r="G386" s="6"/>
    </row>
    <row r="387" spans="2:7" x14ac:dyDescent="0.45">
      <c r="B387" s="18"/>
      <c r="C387" s="35"/>
      <c r="D387" s="2" t="s">
        <v>84</v>
      </c>
      <c r="E387" s="23"/>
      <c r="F387" s="3"/>
      <c r="G387" s="6"/>
    </row>
    <row r="388" spans="2:7" x14ac:dyDescent="0.45">
      <c r="B388" s="18"/>
      <c r="D388" s="2" t="s">
        <v>60</v>
      </c>
      <c r="E388" s="23"/>
      <c r="F388" s="3"/>
      <c r="G388" s="6"/>
    </row>
    <row r="389" spans="2:7" ht="108" x14ac:dyDescent="0.45">
      <c r="B389" s="18"/>
      <c r="C389" s="20" t="s">
        <v>161</v>
      </c>
      <c r="D389" s="2" t="s">
        <v>67</v>
      </c>
      <c r="E389" s="23"/>
      <c r="F389" s="3" t="s">
        <v>162</v>
      </c>
      <c r="G389" s="6"/>
    </row>
    <row r="390" spans="2:7" x14ac:dyDescent="0.45">
      <c r="B390" s="18"/>
      <c r="C390" s="21"/>
      <c r="D390" s="2" t="s">
        <v>57</v>
      </c>
      <c r="E390" s="23"/>
      <c r="F390" s="3"/>
      <c r="G390" s="6"/>
    </row>
    <row r="391" spans="2:7" x14ac:dyDescent="0.45">
      <c r="B391" s="18"/>
      <c r="C391" s="21"/>
      <c r="D391" s="2" t="s">
        <v>58</v>
      </c>
      <c r="E391" s="23"/>
      <c r="F391" s="3"/>
      <c r="G391" s="6"/>
    </row>
    <row r="392" spans="2:7" x14ac:dyDescent="0.45">
      <c r="B392" s="18"/>
      <c r="C392" s="21"/>
      <c r="D392" s="2" t="s">
        <v>59</v>
      </c>
      <c r="E392" s="23"/>
      <c r="F392" s="3"/>
      <c r="G392" s="6"/>
    </row>
    <row r="393" spans="2:7" x14ac:dyDescent="0.45">
      <c r="B393" s="18"/>
      <c r="C393" s="21"/>
      <c r="D393" s="2" t="s">
        <v>78</v>
      </c>
      <c r="E393" s="23"/>
      <c r="F393" s="3"/>
      <c r="G393" s="6"/>
    </row>
    <row r="394" spans="2:7" x14ac:dyDescent="0.45">
      <c r="B394" s="18"/>
      <c r="C394" s="21"/>
      <c r="D394" s="2" t="s">
        <v>81</v>
      </c>
      <c r="E394" s="23"/>
      <c r="F394" s="3"/>
      <c r="G394" s="6"/>
    </row>
    <row r="395" spans="2:7" x14ac:dyDescent="0.45">
      <c r="B395" s="18"/>
      <c r="C395" s="35"/>
      <c r="D395" s="2" t="s">
        <v>84</v>
      </c>
      <c r="E395" s="23"/>
      <c r="F395" s="3"/>
      <c r="G395" s="6"/>
    </row>
    <row r="396" spans="2:7" x14ac:dyDescent="0.45">
      <c r="B396" s="19"/>
      <c r="C396" s="22"/>
      <c r="D396" s="2" t="s">
        <v>60</v>
      </c>
      <c r="E396" s="23"/>
      <c r="F396" s="3"/>
      <c r="G396" s="6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217F8F-0424-4D09-8EF1-76A058388FDB}">
          <x14:formula1>
            <xm:f>Sheet1!$E$4:$E$10</xm:f>
          </x14:formula1>
          <xm:sqref>D210:D257 D259:D298 D300:D347 D112:D175 D63:D110 D177:D208 D38:D61 D4:D36 D349:D396</xm:sqref>
        </x14:dataValidation>
        <x14:dataValidation type="list" allowBlank="1" showInputMessage="1" showErrorMessage="1" xr:uid="{3C1A2A9C-A006-4E67-9C3E-9EABE379EDE1}">
          <x14:formula1>
            <xm:f>Sheet1!$E$3:$E$10</xm:f>
          </x14:formula1>
          <xm:sqref>D62 D299 D111 D176 D209 D258 D348</xm:sqref>
        </x14:dataValidation>
        <x14:dataValidation type="list" allowBlank="1" showInputMessage="1" showErrorMessage="1" xr:uid="{0C8521CF-0CAB-467C-BD0E-C1BF122F2C71}">
          <x14:formula1>
            <xm:f>Sheet1!$E$3:$E$11</xm:f>
          </x14:formula1>
          <xm:sqref>D3 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3BD5-9ECF-45BC-A450-6172FCD0B19D}">
  <dimension ref="B2:F24"/>
  <sheetViews>
    <sheetView workbookViewId="0">
      <pane ySplit="2" topLeftCell="A3" activePane="bottomLeft" state="frozen"/>
      <selection pane="bottomLeft" activeCell="A8" sqref="A8"/>
    </sheetView>
  </sheetViews>
  <sheetFormatPr defaultRowHeight="18" x14ac:dyDescent="0.45"/>
  <cols>
    <col min="1" max="1" width="8.796875" style="1"/>
    <col min="2" max="2" width="25.69921875" style="1" customWidth="1"/>
    <col min="3" max="3" width="47.296875" style="1" bestFit="1" customWidth="1"/>
    <col min="4" max="4" width="66.59765625" style="1" customWidth="1"/>
    <col min="5" max="5" width="12.3984375" style="1" bestFit="1" customWidth="1"/>
    <col min="6" max="6" width="24.8984375" style="1" customWidth="1"/>
    <col min="7" max="16384" width="8.796875" style="1"/>
  </cols>
  <sheetData>
    <row r="2" spans="2:6" x14ac:dyDescent="0.45">
      <c r="B2" s="28" t="s">
        <v>2</v>
      </c>
      <c r="C2" s="28"/>
      <c r="D2" s="5" t="s">
        <v>0</v>
      </c>
      <c r="E2" s="5" t="s">
        <v>1</v>
      </c>
    </row>
    <row r="3" spans="2:6" x14ac:dyDescent="0.45">
      <c r="B3" s="2" t="s">
        <v>7</v>
      </c>
      <c r="C3" s="2" t="s">
        <v>5</v>
      </c>
      <c r="D3" s="3" t="s">
        <v>40</v>
      </c>
      <c r="E3" s="13">
        <v>4</v>
      </c>
    </row>
    <row r="4" spans="2:6" x14ac:dyDescent="0.45">
      <c r="B4" s="25" t="s">
        <v>30</v>
      </c>
      <c r="C4" s="2" t="s">
        <v>6</v>
      </c>
      <c r="D4" s="3" t="s">
        <v>28</v>
      </c>
      <c r="E4" s="2">
        <v>0.5</v>
      </c>
    </row>
    <row r="5" spans="2:6" x14ac:dyDescent="0.45">
      <c r="B5" s="26"/>
      <c r="C5" s="2" t="s">
        <v>29</v>
      </c>
      <c r="D5" s="3" t="s">
        <v>41</v>
      </c>
      <c r="E5" s="2">
        <v>3</v>
      </c>
    </row>
    <row r="6" spans="2:6" x14ac:dyDescent="0.45">
      <c r="B6" s="27"/>
      <c r="C6" s="3" t="s">
        <v>21</v>
      </c>
      <c r="D6" s="2" t="s">
        <v>27</v>
      </c>
      <c r="E6" s="2">
        <v>1</v>
      </c>
    </row>
    <row r="7" spans="2:6" ht="72" x14ac:dyDescent="0.45">
      <c r="B7" s="29" t="s">
        <v>4</v>
      </c>
      <c r="C7" s="3" t="s">
        <v>38</v>
      </c>
      <c r="D7" s="3" t="s">
        <v>39</v>
      </c>
      <c r="E7" s="2">
        <v>10</v>
      </c>
    </row>
    <row r="8" spans="2:6" ht="180" x14ac:dyDescent="0.45">
      <c r="B8" s="29"/>
      <c r="C8" s="3" t="s">
        <v>22</v>
      </c>
      <c r="D8" s="3" t="s">
        <v>46</v>
      </c>
      <c r="E8" s="13">
        <f>10*2</f>
        <v>20</v>
      </c>
      <c r="F8" s="1" t="s">
        <v>35</v>
      </c>
    </row>
    <row r="9" spans="2:6" ht="126" x14ac:dyDescent="0.45">
      <c r="B9" s="9" t="s">
        <v>31</v>
      </c>
      <c r="C9" s="3" t="s">
        <v>23</v>
      </c>
      <c r="D9" s="3" t="s">
        <v>47</v>
      </c>
      <c r="E9" s="13">
        <f>18*6</f>
        <v>108</v>
      </c>
      <c r="F9" s="10" t="s">
        <v>48</v>
      </c>
    </row>
    <row r="10" spans="2:6" x14ac:dyDescent="0.45">
      <c r="B10" s="25" t="s">
        <v>15</v>
      </c>
      <c r="C10" s="2" t="s">
        <v>9</v>
      </c>
      <c r="D10" s="31" t="s">
        <v>42</v>
      </c>
      <c r="E10" s="25">
        <f>240/8</f>
        <v>30</v>
      </c>
      <c r="F10" s="1" t="s">
        <v>32</v>
      </c>
    </row>
    <row r="11" spans="2:6" x14ac:dyDescent="0.45">
      <c r="B11" s="26"/>
      <c r="C11" s="2" t="s">
        <v>10</v>
      </c>
      <c r="D11" s="32"/>
      <c r="E11" s="26"/>
    </row>
    <row r="12" spans="2:6" ht="44.4" customHeight="1" x14ac:dyDescent="0.45">
      <c r="B12" s="27"/>
      <c r="C12" s="2" t="s">
        <v>43</v>
      </c>
      <c r="D12" s="33"/>
      <c r="E12" s="27"/>
    </row>
    <row r="13" spans="2:6" ht="72" x14ac:dyDescent="0.45">
      <c r="B13" s="25" t="s">
        <v>12</v>
      </c>
      <c r="C13" s="2" t="s">
        <v>33</v>
      </c>
      <c r="D13" s="3" t="s">
        <v>44</v>
      </c>
      <c r="E13" s="2">
        <v>6</v>
      </c>
    </row>
    <row r="14" spans="2:6" ht="36" x14ac:dyDescent="0.45">
      <c r="B14" s="27"/>
      <c r="C14" s="2" t="s">
        <v>11</v>
      </c>
      <c r="D14" s="3" t="s">
        <v>16</v>
      </c>
      <c r="E14" s="2">
        <v>2</v>
      </c>
    </row>
    <row r="15" spans="2:6" ht="342" x14ac:dyDescent="0.45">
      <c r="B15" s="25" t="s">
        <v>8</v>
      </c>
      <c r="C15" s="2" t="s">
        <v>18</v>
      </c>
      <c r="D15" s="3" t="s">
        <v>24</v>
      </c>
      <c r="E15" s="2">
        <f>16*1*1.5</f>
        <v>24</v>
      </c>
      <c r="F15" s="1" t="s">
        <v>45</v>
      </c>
    </row>
    <row r="16" spans="2:6" ht="342" x14ac:dyDescent="0.45">
      <c r="B16" s="26"/>
      <c r="C16" s="2" t="s">
        <v>3</v>
      </c>
      <c r="D16" s="3" t="s">
        <v>24</v>
      </c>
      <c r="E16" s="2">
        <f>16*1*1.5</f>
        <v>24</v>
      </c>
      <c r="F16" s="1" t="s">
        <v>45</v>
      </c>
    </row>
    <row r="17" spans="2:6" ht="342" x14ac:dyDescent="0.45">
      <c r="B17" s="26"/>
      <c r="C17" s="2" t="s">
        <v>14</v>
      </c>
      <c r="D17" s="3" t="s">
        <v>24</v>
      </c>
      <c r="E17" s="2">
        <f>16*0.5</f>
        <v>8</v>
      </c>
      <c r="F17" s="1" t="s">
        <v>36</v>
      </c>
    </row>
    <row r="18" spans="2:6" ht="54" x14ac:dyDescent="0.45">
      <c r="B18" s="26"/>
      <c r="C18" s="2" t="s">
        <v>17</v>
      </c>
      <c r="D18" s="3" t="s">
        <v>25</v>
      </c>
      <c r="E18" s="2">
        <f>2*0.5</f>
        <v>1</v>
      </c>
      <c r="F18" s="1" t="s">
        <v>36</v>
      </c>
    </row>
    <row r="19" spans="2:6" ht="270" x14ac:dyDescent="0.45">
      <c r="B19" s="27"/>
      <c r="C19" s="2" t="s">
        <v>19</v>
      </c>
      <c r="D19" s="3" t="s">
        <v>37</v>
      </c>
      <c r="E19" s="2">
        <f>12*0.5</f>
        <v>6</v>
      </c>
      <c r="F19" s="1" t="s">
        <v>36</v>
      </c>
    </row>
    <row r="20" spans="2:6" ht="36" customHeight="1" x14ac:dyDescent="0.45">
      <c r="B20" s="29" t="s">
        <v>20</v>
      </c>
      <c r="C20" s="2" t="s">
        <v>13</v>
      </c>
      <c r="D20" s="30" t="s">
        <v>26</v>
      </c>
      <c r="E20" s="2">
        <v>3</v>
      </c>
    </row>
    <row r="21" spans="2:6" ht="36" customHeight="1" x14ac:dyDescent="0.45">
      <c r="B21" s="29"/>
      <c r="C21" s="2" t="s">
        <v>3</v>
      </c>
      <c r="D21" s="30"/>
      <c r="E21" s="2">
        <v>5</v>
      </c>
    </row>
    <row r="22" spans="2:6" x14ac:dyDescent="0.45">
      <c r="B22" s="2" t="s">
        <v>34</v>
      </c>
      <c r="C22" s="2"/>
      <c r="D22" s="3"/>
      <c r="E22" s="2">
        <v>1</v>
      </c>
    </row>
    <row r="23" spans="2:6" x14ac:dyDescent="0.45">
      <c r="E23" s="1">
        <f>SUM(E1:E21)</f>
        <v>255.5</v>
      </c>
    </row>
    <row r="24" spans="2:6" x14ac:dyDescent="0.45">
      <c r="E24" s="4">
        <f>ROUNDUP(E23*1.3,0)</f>
        <v>333</v>
      </c>
    </row>
  </sheetData>
  <mergeCells count="10">
    <mergeCell ref="B20:B21"/>
    <mergeCell ref="D20:D21"/>
    <mergeCell ref="B10:B12"/>
    <mergeCell ref="D10:D12"/>
    <mergeCell ref="B15:B19"/>
    <mergeCell ref="E10:E12"/>
    <mergeCell ref="B13:B14"/>
    <mergeCell ref="B2:C2"/>
    <mergeCell ref="B4:B6"/>
    <mergeCell ref="B7:B8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A20-2618-4448-84AE-35D356F77BBD}">
  <dimension ref="C2:G11"/>
  <sheetViews>
    <sheetView topLeftCell="A6" workbookViewId="0">
      <selection activeCell="F8" sqref="F8"/>
    </sheetView>
  </sheetViews>
  <sheetFormatPr defaultRowHeight="18" x14ac:dyDescent="0.45"/>
  <cols>
    <col min="3" max="3" width="14.3984375" bestFit="1" customWidth="1"/>
    <col min="5" max="5" width="10.3984375" bestFit="1" customWidth="1"/>
    <col min="6" max="6" width="62.5" customWidth="1"/>
    <col min="7" max="7" width="50.3984375" customWidth="1"/>
  </cols>
  <sheetData>
    <row r="2" spans="3:7" x14ac:dyDescent="0.45">
      <c r="C2" s="14" t="s">
        <v>49</v>
      </c>
      <c r="E2" s="14" t="s">
        <v>56</v>
      </c>
      <c r="F2" s="14" t="s">
        <v>61</v>
      </c>
      <c r="G2" s="14" t="s">
        <v>61</v>
      </c>
    </row>
    <row r="3" spans="3:7" x14ac:dyDescent="0.45">
      <c r="C3" s="2" t="s">
        <v>51</v>
      </c>
      <c r="E3" t="s">
        <v>68</v>
      </c>
    </row>
    <row r="4" spans="3:7" ht="36" x14ac:dyDescent="0.45">
      <c r="C4" s="2" t="s">
        <v>8</v>
      </c>
      <c r="E4" t="s">
        <v>67</v>
      </c>
      <c r="F4" s="15" t="s">
        <v>62</v>
      </c>
      <c r="G4" s="15" t="s">
        <v>62</v>
      </c>
    </row>
    <row r="5" spans="3:7" ht="90" x14ac:dyDescent="0.45">
      <c r="C5" s="1" t="s">
        <v>50</v>
      </c>
      <c r="E5" t="s">
        <v>57</v>
      </c>
      <c r="F5" s="15" t="s">
        <v>63</v>
      </c>
      <c r="G5" s="15" t="s">
        <v>63</v>
      </c>
    </row>
    <row r="6" spans="3:7" ht="36" x14ac:dyDescent="0.45">
      <c r="C6" s="1" t="s">
        <v>52</v>
      </c>
      <c r="E6" t="s">
        <v>58</v>
      </c>
      <c r="F6" t="s">
        <v>64</v>
      </c>
      <c r="G6" s="15" t="s">
        <v>75</v>
      </c>
    </row>
    <row r="7" spans="3:7" x14ac:dyDescent="0.45">
      <c r="C7" s="1" t="s">
        <v>53</v>
      </c>
      <c r="E7" t="s">
        <v>59</v>
      </c>
      <c r="F7" s="15" t="s">
        <v>65</v>
      </c>
      <c r="G7" s="15" t="s">
        <v>65</v>
      </c>
    </row>
    <row r="8" spans="3:7" ht="54" x14ac:dyDescent="0.45">
      <c r="C8" s="1" t="s">
        <v>54</v>
      </c>
      <c r="E8" t="s">
        <v>78</v>
      </c>
      <c r="F8" s="15" t="s">
        <v>79</v>
      </c>
      <c r="G8" s="15" t="s">
        <v>80</v>
      </c>
    </row>
    <row r="9" spans="3:7" ht="36" x14ac:dyDescent="0.45">
      <c r="C9" s="1" t="s">
        <v>55</v>
      </c>
      <c r="E9" t="s">
        <v>81</v>
      </c>
      <c r="F9" s="15" t="s">
        <v>82</v>
      </c>
      <c r="G9" s="15" t="s">
        <v>83</v>
      </c>
    </row>
    <row r="10" spans="3:7" ht="54" x14ac:dyDescent="0.45">
      <c r="C10" s="1" t="s">
        <v>19</v>
      </c>
      <c r="E10" t="s">
        <v>84</v>
      </c>
      <c r="F10" s="15" t="s">
        <v>85</v>
      </c>
      <c r="G10" s="15" t="s">
        <v>85</v>
      </c>
    </row>
    <row r="11" spans="3:7" ht="108" x14ac:dyDescent="0.45">
      <c r="E11" t="s">
        <v>60</v>
      </c>
      <c r="F11" s="15" t="s">
        <v>77</v>
      </c>
      <c r="G11" s="15" t="s">
        <v>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新入社員研修</vt:lpstr>
      <vt:lpstr>案件企画・講師アサイン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2024-09-23T15:39:05Z</dcterms:created>
  <dcterms:modified xsi:type="dcterms:W3CDTF">2026-08-14T05:15:19Z</dcterms:modified>
</cp:coreProperties>
</file>