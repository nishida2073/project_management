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id\Desktop\project_management\見積もり\"/>
    </mc:Choice>
  </mc:AlternateContent>
  <xr:revisionPtr revIDLastSave="0" documentId="13_ncr:1_{7D93F81E-7DF0-45C8-A0C5-FBA7B38D96E6}" xr6:coauthVersionLast="47" xr6:coauthVersionMax="47" xr10:uidLastSave="{00000000-0000-0000-0000-000000000000}"/>
  <bookViews>
    <workbookView xWindow="-108" yWindow="-108" windowWidth="23256" windowHeight="12456" xr2:uid="{15EF4DE1-B99D-4880-9633-29B1123E0732}"/>
  </bookViews>
  <sheets>
    <sheet name="新入社員研修" sheetId="4" r:id="rId1"/>
    <sheet name="案件企画・講師アサイン" sheetId="2" r:id="rId2"/>
    <sheet name="Sheet1" sheetId="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2" l="1"/>
  <c r="E8" i="2"/>
  <c r="E16" i="2"/>
  <c r="E15" i="2"/>
  <c r="E10" i="2"/>
  <c r="E19" i="2"/>
  <c r="E18" i="2"/>
  <c r="E17" i="2"/>
  <c r="E23" i="2" l="1"/>
  <c r="E24" i="2" s="1"/>
</calcChain>
</file>

<file path=xl/sharedStrings.xml><?xml version="1.0" encoding="utf-8"?>
<sst xmlns="http://schemas.openxmlformats.org/spreadsheetml/2006/main" count="132" uniqueCount="99">
  <si>
    <t>備考</t>
    <rPh sb="0" eb="2">
      <t>ビコウ</t>
    </rPh>
    <phoneticPr fontId="1"/>
  </si>
  <si>
    <t>工数（人日）</t>
    <rPh sb="0" eb="2">
      <t>コウスウ</t>
    </rPh>
    <rPh sb="3" eb="5">
      <t>ニンニチ</t>
    </rPh>
    <phoneticPr fontId="1"/>
  </si>
  <si>
    <t>項目名</t>
    <rPh sb="0" eb="2">
      <t>コウモク</t>
    </rPh>
    <rPh sb="2" eb="3">
      <t>メイ</t>
    </rPh>
    <phoneticPr fontId="1"/>
  </si>
  <si>
    <t>演習</t>
    <rPh sb="0" eb="2">
      <t>エンシュウ</t>
    </rPh>
    <phoneticPr fontId="1"/>
  </si>
  <si>
    <t>AIインストラクション</t>
    <phoneticPr fontId="1"/>
  </si>
  <si>
    <t>全体</t>
    <rPh sb="0" eb="2">
      <t>ゼンタイ</t>
    </rPh>
    <phoneticPr fontId="1"/>
  </si>
  <si>
    <t>運用検討</t>
    <rPh sb="0" eb="2">
      <t>ウンヨウ</t>
    </rPh>
    <rPh sb="2" eb="4">
      <t>ケントウ</t>
    </rPh>
    <phoneticPr fontId="1"/>
  </si>
  <si>
    <t>誤植対応</t>
    <rPh sb="0" eb="2">
      <t>ゴショク</t>
    </rPh>
    <rPh sb="2" eb="4">
      <t>タイオウ</t>
    </rPh>
    <phoneticPr fontId="1"/>
  </si>
  <si>
    <t>Track構築</t>
    <phoneticPr fontId="1"/>
  </si>
  <si>
    <t>地域</t>
    <rPh sb="0" eb="2">
      <t>チイキ</t>
    </rPh>
    <phoneticPr fontId="1"/>
  </si>
  <si>
    <t>金融</t>
    <rPh sb="0" eb="2">
      <t>キンユウ</t>
    </rPh>
    <phoneticPr fontId="1"/>
  </si>
  <si>
    <t>ユニバクラウド</t>
    <phoneticPr fontId="1"/>
  </si>
  <si>
    <t>PCマスタ構築</t>
    <rPh sb="5" eb="7">
      <t>コウチク</t>
    </rPh>
    <phoneticPr fontId="1"/>
  </si>
  <si>
    <t>kintone構築</t>
    <phoneticPr fontId="1"/>
  </si>
  <si>
    <t>テキスト</t>
    <phoneticPr fontId="1"/>
  </si>
  <si>
    <t>章テスト</t>
    <rPh sb="0" eb="1">
      <t>ショウ</t>
    </rPh>
    <phoneticPr fontId="1"/>
  </si>
  <si>
    <t>IG制作</t>
    <rPh sb="2" eb="4">
      <t>セイサク</t>
    </rPh>
    <phoneticPr fontId="1"/>
  </si>
  <si>
    <t>環境の構築
テストの実行</t>
    <rPh sb="0" eb="2">
      <t>カンキョウ</t>
    </rPh>
    <rPh sb="3" eb="5">
      <t>コウチク</t>
    </rPh>
    <rPh sb="10" eb="12">
      <t>ジッコウ</t>
    </rPh>
    <phoneticPr fontId="1"/>
  </si>
  <si>
    <t>中間テスト</t>
    <rPh sb="0" eb="2">
      <t>チュウカン</t>
    </rPh>
    <phoneticPr fontId="1"/>
  </si>
  <si>
    <t>テキスト（確認問題含む）</t>
    <rPh sb="5" eb="9">
      <t>カクニンモンダイ</t>
    </rPh>
    <rPh sb="9" eb="10">
      <t>フク</t>
    </rPh>
    <phoneticPr fontId="1"/>
  </si>
  <si>
    <t>修了判定テスト</t>
    <rPh sb="0" eb="4">
      <t>シュウリョウハンテイ</t>
    </rPh>
    <phoneticPr fontId="1"/>
  </si>
  <si>
    <t>製本作業（原本→PDF）</t>
    <rPh sb="0" eb="2">
      <t>セイホン</t>
    </rPh>
    <rPh sb="2" eb="4">
      <t>サギョウ</t>
    </rPh>
    <rPh sb="5" eb="7">
      <t>ゲンポン</t>
    </rPh>
    <phoneticPr fontId="1"/>
  </si>
  <si>
    <t>学習の手引きの修正</t>
    <rPh sb="0" eb="2">
      <t>ガクシュウ</t>
    </rPh>
    <rPh sb="3" eb="5">
      <t>テビ</t>
    </rPh>
    <rPh sb="7" eb="9">
      <t>シュウセイ</t>
    </rPh>
    <phoneticPr fontId="1"/>
  </si>
  <si>
    <t>カリキュラム毎の演習教材（問題と解答プロンプト）
※レベル分けなし</t>
    <rPh sb="6" eb="7">
      <t>ゴト</t>
    </rPh>
    <rPh sb="8" eb="10">
      <t>エンシュウ</t>
    </rPh>
    <rPh sb="10" eb="12">
      <t>キョウザイ</t>
    </rPh>
    <rPh sb="13" eb="15">
      <t>モンダイ</t>
    </rPh>
    <rPh sb="16" eb="18">
      <t>カイトウ</t>
    </rPh>
    <rPh sb="29" eb="30">
      <t>ワ</t>
    </rPh>
    <phoneticPr fontId="1"/>
  </si>
  <si>
    <t>テーマ毎の演習教材（問題と解説）
※レベル分けなし</t>
    <rPh sb="3" eb="4">
      <t>ゴト</t>
    </rPh>
    <rPh sb="5" eb="7">
      <t>エンシュウ</t>
    </rPh>
    <rPh sb="7" eb="9">
      <t>キョウザイ</t>
    </rPh>
    <rPh sb="10" eb="12">
      <t>モンダイ</t>
    </rPh>
    <rPh sb="13" eb="15">
      <t>カイセツ</t>
    </rPh>
    <rPh sb="21" eb="22">
      <t>ワ</t>
    </rPh>
    <phoneticPr fontId="1"/>
  </si>
  <si>
    <t>■初級（6個）
・データベース技術入門
・Web技術入門
・アルゴリズム入門
・Servlet／JSPプログラミング
・JDBCプログラミング
・MVCプログラミング
■一般（10個）
・データベース技術入門
・Web技術入門
・アルゴリズム入門
・プログラミング言語入門
・オブジェクト指向プログラミング
・Servlet／JSPプログラミング
・JDBCプログラミング
・MVCプログラミング
・開発プロセス
・サービスデザイン</t>
    <rPh sb="5" eb="6">
      <t>コ</t>
    </rPh>
    <phoneticPr fontId="1"/>
  </si>
  <si>
    <t>■共通（２個）
・Java基礎
・Java応用</t>
    <rPh sb="1" eb="3">
      <t>キョウツウ</t>
    </rPh>
    <rPh sb="5" eb="6">
      <t>コ</t>
    </rPh>
    <rPh sb="13" eb="15">
      <t>キソ</t>
    </rPh>
    <rPh sb="21" eb="23">
      <t>オウヨウ</t>
    </rPh>
    <phoneticPr fontId="1"/>
  </si>
  <si>
    <t>・コピーライト修正
※昨年度と同様</t>
    <rPh sb="7" eb="9">
      <t>シュウセイ</t>
    </rPh>
    <rPh sb="11" eb="14">
      <t>サクネンド</t>
    </rPh>
    <rPh sb="15" eb="17">
      <t>ドウヨウ</t>
    </rPh>
    <phoneticPr fontId="1"/>
  </si>
  <si>
    <t>初日の説明資材の修正</t>
    <rPh sb="0" eb="2">
      <t>ショニチ</t>
    </rPh>
    <rPh sb="3" eb="5">
      <t>セツメイ</t>
    </rPh>
    <rPh sb="5" eb="7">
      <t>シザイ</t>
    </rPh>
    <rPh sb="8" eb="10">
      <t>シュウセイ</t>
    </rPh>
    <phoneticPr fontId="1"/>
  </si>
  <si>
    <t>方針検討</t>
    <rPh sb="0" eb="2">
      <t>ホウシン</t>
    </rPh>
    <rPh sb="2" eb="4">
      <t>ケントウ</t>
    </rPh>
    <phoneticPr fontId="1"/>
  </si>
  <si>
    <t>資材の精査</t>
    <rPh sb="0" eb="2">
      <t>シザイ</t>
    </rPh>
    <rPh sb="3" eb="5">
      <t>セイサ</t>
    </rPh>
    <phoneticPr fontId="1"/>
  </si>
  <si>
    <t>研修運用</t>
    <rPh sb="0" eb="2">
      <t>ケンシュウ</t>
    </rPh>
    <rPh sb="2" eb="4">
      <t>ウンヨウ</t>
    </rPh>
    <phoneticPr fontId="1"/>
  </si>
  <si>
    <t>グループワーク</t>
    <phoneticPr fontId="1"/>
  </si>
  <si>
    <t>※去年と同様の工数（240時間）にしています。</t>
    <rPh sb="13" eb="15">
      <t>ジカン</t>
    </rPh>
    <phoneticPr fontId="1"/>
  </si>
  <si>
    <t>実機（現地作業含む）</t>
    <rPh sb="0" eb="2">
      <t>ジッキ</t>
    </rPh>
    <rPh sb="3" eb="5">
      <t>ゲンチ</t>
    </rPh>
    <rPh sb="5" eb="7">
      <t>サギョウ</t>
    </rPh>
    <rPh sb="7" eb="8">
      <t>フク</t>
    </rPh>
    <phoneticPr fontId="1"/>
  </si>
  <si>
    <t>講師説明会支援</t>
    <rPh sb="0" eb="2">
      <t>コウシ</t>
    </rPh>
    <rPh sb="2" eb="5">
      <t>セツメイカイ</t>
    </rPh>
    <rPh sb="5" eb="7">
      <t>シエン</t>
    </rPh>
    <phoneticPr fontId="1"/>
  </si>
  <si>
    <t>※1個：2人日</t>
    <rPh sb="2" eb="3">
      <t>コ</t>
    </rPh>
    <rPh sb="5" eb="6">
      <t>ニン</t>
    </rPh>
    <rPh sb="6" eb="7">
      <t>ニチ</t>
    </rPh>
    <phoneticPr fontId="1"/>
  </si>
  <si>
    <t>※1個：0.5人日</t>
    <rPh sb="2" eb="3">
      <t>コ</t>
    </rPh>
    <rPh sb="7" eb="8">
      <t>ニン</t>
    </rPh>
    <rPh sb="8" eb="9">
      <t>ニチ</t>
    </rPh>
    <phoneticPr fontId="1"/>
  </si>
  <si>
    <t>■初級（4個）
・データベース技術入門
・Web技術入門
・アルゴリズム入門
・Java応用
■一般（８個）
・社会を支えるITサービス
・データベース技術入門
・Web技術入門
・アルゴリズム入門
・Java基礎
・Java応用
・開発プロセス
・サービスデザイン</t>
    <rPh sb="5" eb="6">
      <t>コ</t>
    </rPh>
    <rPh sb="44" eb="46">
      <t>オウヨウ</t>
    </rPh>
    <rPh sb="106" eb="108">
      <t>キソ</t>
    </rPh>
    <rPh sb="114" eb="116">
      <t>オウヨウ</t>
    </rPh>
    <phoneticPr fontId="1"/>
  </si>
  <si>
    <t>プロンプトの利用方法用の作成
※各カリキュラムで実施するAI演習の補足資材となる</t>
    <rPh sb="10" eb="11">
      <t>ヨウ</t>
    </rPh>
    <rPh sb="12" eb="14">
      <t>サクセイ</t>
    </rPh>
    <rPh sb="16" eb="17">
      <t>カク</t>
    </rPh>
    <rPh sb="24" eb="26">
      <t>ジッシ</t>
    </rPh>
    <rPh sb="30" eb="32">
      <t>エンシュウ</t>
    </rPh>
    <rPh sb="33" eb="35">
      <t>ホソク</t>
    </rPh>
    <rPh sb="35" eb="37">
      <t>シザイ</t>
    </rPh>
    <phoneticPr fontId="1"/>
  </si>
  <si>
    <t>プロンプト
記載方法（マークダウン）
よくあるプロンプトの使い方集（調べる、教えてもらう、検証する　など）
※生成AIに特化した話（UnivTutorのマニュアルではない）</t>
    <rPh sb="6" eb="8">
      <t>キサイ</t>
    </rPh>
    <rPh sb="8" eb="10">
      <t>ホウホウ</t>
    </rPh>
    <rPh sb="29" eb="30">
      <t>ツカ</t>
    </rPh>
    <rPh sb="31" eb="32">
      <t>カタ</t>
    </rPh>
    <rPh sb="32" eb="33">
      <t>シュウ</t>
    </rPh>
    <rPh sb="34" eb="35">
      <t>シラ</t>
    </rPh>
    <rPh sb="38" eb="39">
      <t>オシ</t>
    </rPh>
    <rPh sb="45" eb="47">
      <t>ケンショウ</t>
    </rPh>
    <phoneticPr fontId="1"/>
  </si>
  <si>
    <t>昨年度と同程度の想定です。</t>
    <rPh sb="0" eb="3">
      <t>サクネンド</t>
    </rPh>
    <rPh sb="4" eb="7">
      <t>ドウテイド</t>
    </rPh>
    <rPh sb="8" eb="10">
      <t>ソウテイ</t>
    </rPh>
    <phoneticPr fontId="1"/>
  </si>
  <si>
    <t>テクニカル</t>
    <phoneticPr fontId="1"/>
  </si>
  <si>
    <t>スケジュールの調整
AI導入の変更
グループワーク導入の変更
日程調整の変更</t>
    <rPh sb="7" eb="9">
      <t>チョウセイ</t>
    </rPh>
    <rPh sb="12" eb="14">
      <t>ドウニュウ</t>
    </rPh>
    <rPh sb="15" eb="17">
      <t>ヘンコウ</t>
    </rPh>
    <rPh sb="25" eb="27">
      <t>ドウニュウ</t>
    </rPh>
    <rPh sb="28" eb="30">
      <t>ヘンコウ</t>
    </rPh>
    <rPh sb="31" eb="33">
      <t>ニッテイ</t>
    </rPh>
    <rPh sb="33" eb="35">
      <t>チョウセイ</t>
    </rPh>
    <rPh sb="36" eb="38">
      <t>ヘンコウ</t>
    </rPh>
    <phoneticPr fontId="1"/>
  </si>
  <si>
    <t>グループ共催</t>
    <rPh sb="4" eb="6">
      <t>キョウサイ</t>
    </rPh>
    <phoneticPr fontId="1"/>
  </si>
  <si>
    <t>誤植の対応
環境の構築
テストの実行
運用系のショートカット</t>
    <rPh sb="0" eb="2">
      <t>ゴショク</t>
    </rPh>
    <rPh sb="3" eb="5">
      <t>タイオウ</t>
    </rPh>
    <rPh sb="6" eb="8">
      <t>カンキョウ</t>
    </rPh>
    <rPh sb="9" eb="11">
      <t>コウチク</t>
    </rPh>
    <rPh sb="16" eb="18">
      <t>ジッコウ</t>
    </rPh>
    <rPh sb="19" eb="21">
      <t>ウンヨウ</t>
    </rPh>
    <rPh sb="21" eb="22">
      <t>ケイ</t>
    </rPh>
    <phoneticPr fontId="1"/>
  </si>
  <si>
    <t>※1個：1.5人日</t>
    <rPh sb="2" eb="3">
      <t>コ</t>
    </rPh>
    <rPh sb="7" eb="8">
      <t>ニン</t>
    </rPh>
    <rPh sb="8" eb="9">
      <t>ニチ</t>
    </rPh>
    <phoneticPr fontId="1"/>
  </si>
  <si>
    <t>■カリキュラム一覧
・データベース技術入門：1
・Web技術入門：1
・アルゴリズム入門：1
・プログラミング言語入門：1
・オブジェクト指向プログラミング：1
・Servlet／JSPプログラミング：1
・JDBCプログラミング：1
・テクニカル総合演習/システム開発演習：2
・サービスデザイン：1</t>
    <rPh sb="7" eb="9">
      <t>イチラン</t>
    </rPh>
    <phoneticPr fontId="1"/>
  </si>
  <si>
    <t>■カリキュラム一覧
・Web技術入門：1
・アルゴリズム入門：2
・プログラミング言語入門：3
・オブジェクト指向プログラミング：3
・JDBCプログラミング：3
・Servlet／JSPプログラミング/MVCプログラミング：6</t>
    <rPh sb="7" eb="9">
      <t>イチラン</t>
    </rPh>
    <phoneticPr fontId="1"/>
  </si>
  <si>
    <t>※1個：6人日（動画あり）</t>
    <phoneticPr fontId="1"/>
  </si>
  <si>
    <t>カテゴリ</t>
    <phoneticPr fontId="1"/>
  </si>
  <si>
    <t>教材準備</t>
  </si>
  <si>
    <t>教材準備</t>
    <rPh sb="0" eb="2">
      <t>キョウザイ</t>
    </rPh>
    <rPh sb="2" eb="4">
      <t>ジュンビ</t>
    </rPh>
    <phoneticPr fontId="1"/>
  </si>
  <si>
    <t>パルスサーベイ</t>
  </si>
  <si>
    <t>業務日誌</t>
    <rPh sb="0" eb="4">
      <t>ギョウムニッシ</t>
    </rPh>
    <phoneticPr fontId="1"/>
  </si>
  <si>
    <t>勤怠管理</t>
    <rPh sb="0" eb="2">
      <t>キンタイ</t>
    </rPh>
    <rPh sb="2" eb="4">
      <t>カンリ</t>
    </rPh>
    <phoneticPr fontId="1"/>
  </si>
  <si>
    <t>アンケート</t>
    <phoneticPr fontId="1"/>
  </si>
  <si>
    <t>研修用リソース（クラス：年度別）の作成</t>
    <rPh sb="0" eb="3">
      <t>ケンシュウヨウ</t>
    </rPh>
    <rPh sb="12" eb="14">
      <t>ネンド</t>
    </rPh>
    <rPh sb="14" eb="15">
      <t>ベツ</t>
    </rPh>
    <rPh sb="17" eb="19">
      <t>サクセイ</t>
    </rPh>
    <phoneticPr fontId="1"/>
  </si>
  <si>
    <t>研修用リソース（クラス：年度別）の確認</t>
    <rPh sb="0" eb="3">
      <t>ケンシュウヨウ</t>
    </rPh>
    <rPh sb="17" eb="19">
      <t>カクニン</t>
    </rPh>
    <phoneticPr fontId="1"/>
  </si>
  <si>
    <t>研修用リソース（スペース・アプリ：マスター）の作成</t>
    <rPh sb="0" eb="3">
      <t>ケンシュウヨウ</t>
    </rPh>
    <rPh sb="23" eb="25">
      <t>サクセイ</t>
    </rPh>
    <phoneticPr fontId="1"/>
  </si>
  <si>
    <t>研修用リソース（スペース・アプリ：マスター）の確認</t>
    <rPh sb="0" eb="3">
      <t>ケンシュウヨウ</t>
    </rPh>
    <rPh sb="23" eb="25">
      <t>カクニン</t>
    </rPh>
    <phoneticPr fontId="1"/>
  </si>
  <si>
    <t>研修用リソース（スペース・アプリ：年度別）の作成</t>
    <rPh sb="0" eb="3">
      <t>ケンシュウヨウ</t>
    </rPh>
    <rPh sb="17" eb="19">
      <t>ネンド</t>
    </rPh>
    <rPh sb="19" eb="20">
      <t>ベツ</t>
    </rPh>
    <rPh sb="22" eb="24">
      <t>サクセイ</t>
    </rPh>
    <phoneticPr fontId="1"/>
  </si>
  <si>
    <t>研修用リソース（スペース・アプリ：年度別）の確認</t>
    <rPh sb="0" eb="3">
      <t>ケンシュウヨウ</t>
    </rPh>
    <rPh sb="17" eb="19">
      <t>ネンド</t>
    </rPh>
    <rPh sb="19" eb="20">
      <t>ベツ</t>
    </rPh>
    <rPh sb="22" eb="24">
      <t>カクニン</t>
    </rPh>
    <phoneticPr fontId="1"/>
  </si>
  <si>
    <t>研修用リソース（ユーザー：年度別）の作成</t>
    <rPh sb="0" eb="3">
      <t>ケンシュウヨウ</t>
    </rPh>
    <rPh sb="18" eb="20">
      <t>サクセイ</t>
    </rPh>
    <phoneticPr fontId="1"/>
  </si>
  <si>
    <t>研修用リソース（ユーザー：年度別）の確認</t>
    <rPh sb="0" eb="3">
      <t>ケンシュウヨウ</t>
    </rPh>
    <rPh sb="18" eb="20">
      <t>カクニン</t>
    </rPh>
    <phoneticPr fontId="1"/>
  </si>
  <si>
    <t>研修用リソース（Track：マスター）の作成</t>
    <rPh sb="20" eb="22">
      <t>サクセイ</t>
    </rPh>
    <phoneticPr fontId="1"/>
  </si>
  <si>
    <t>研修用リソース（Track：マスター）の確認</t>
    <rPh sb="20" eb="22">
      <t>カクニン</t>
    </rPh>
    <phoneticPr fontId="1"/>
  </si>
  <si>
    <t>研修用リソース（kintone：zip）の作成</t>
    <rPh sb="21" eb="23">
      <t>サクセイ</t>
    </rPh>
    <phoneticPr fontId="1"/>
  </si>
  <si>
    <t>研修用リソース（kintone：zip）の確認</t>
    <rPh sb="21" eb="23">
      <t>カクニン</t>
    </rPh>
    <phoneticPr fontId="1"/>
  </si>
  <si>
    <t>工程</t>
    <rPh sb="0" eb="2">
      <t>コウテイ</t>
    </rPh>
    <phoneticPr fontId="1"/>
  </si>
  <si>
    <t>集計単位の整理</t>
    <rPh sb="0" eb="2">
      <t>シュウケイ</t>
    </rPh>
    <rPh sb="2" eb="4">
      <t>タンイ</t>
    </rPh>
    <rPh sb="5" eb="7">
      <t>セイリ</t>
    </rPh>
    <phoneticPr fontId="1"/>
  </si>
  <si>
    <t>集計ツールの改定</t>
    <rPh sb="0" eb="2">
      <t>シュウケイ</t>
    </rPh>
    <rPh sb="6" eb="8">
      <t>カイテイ</t>
    </rPh>
    <phoneticPr fontId="1"/>
  </si>
  <si>
    <t>過去データの管理</t>
    <rPh sb="0" eb="2">
      <t>カコ</t>
    </rPh>
    <rPh sb="6" eb="8">
      <t>カンリ</t>
    </rPh>
    <phoneticPr fontId="1"/>
  </si>
  <si>
    <t>運用整理（改定～マスター）</t>
    <rPh sb="0" eb="2">
      <t>ウンヨウ</t>
    </rPh>
    <rPh sb="2" eb="4">
      <t>セイリ</t>
    </rPh>
    <rPh sb="5" eb="7">
      <t>カイテイ</t>
    </rPh>
    <phoneticPr fontId="1"/>
  </si>
  <si>
    <t>研修用リソース（Track：マスター）のデプロイ</t>
    <phoneticPr fontId="1"/>
  </si>
  <si>
    <t>研修用リソース（教材：年度別）の確認</t>
    <rPh sb="0" eb="3">
      <t>ケンシュウヨウ</t>
    </rPh>
    <rPh sb="8" eb="10">
      <t>キョウザイ</t>
    </rPh>
    <rPh sb="11" eb="13">
      <t>ネンド</t>
    </rPh>
    <rPh sb="13" eb="14">
      <t>ベツ</t>
    </rPh>
    <rPh sb="16" eb="18">
      <t>カクニン</t>
    </rPh>
    <phoneticPr fontId="1"/>
  </si>
  <si>
    <t>研修用リソース（教材：年度別）のデプロイ</t>
    <rPh sb="0" eb="3">
      <t>ケンシュウヨウ</t>
    </rPh>
    <rPh sb="8" eb="10">
      <t>キョウザイ</t>
    </rPh>
    <rPh sb="11" eb="13">
      <t>ネンド</t>
    </rPh>
    <rPh sb="13" eb="14">
      <t>ベツ</t>
    </rPh>
    <phoneticPr fontId="1"/>
  </si>
  <si>
    <t>運用整理（実施～集計～共有）</t>
    <rPh sb="0" eb="2">
      <t>ウンヨウ</t>
    </rPh>
    <rPh sb="2" eb="4">
      <t>セイリ</t>
    </rPh>
    <rPh sb="5" eb="7">
      <t>ジッシ</t>
    </rPh>
    <rPh sb="8" eb="10">
      <t>シュウケイ</t>
    </rPh>
    <rPh sb="11" eb="13">
      <t>キョウユウ</t>
    </rPh>
    <phoneticPr fontId="1"/>
  </si>
  <si>
    <t>運用整理（実施～集計～督促～再集計～共有～レポート化）</t>
    <rPh sb="0" eb="2">
      <t>ウンヨウ</t>
    </rPh>
    <rPh sb="2" eb="4">
      <t>セイリ</t>
    </rPh>
    <rPh sb="5" eb="7">
      <t>ジッシ</t>
    </rPh>
    <rPh sb="8" eb="10">
      <t>シュウケイ</t>
    </rPh>
    <rPh sb="11" eb="13">
      <t>トクソク</t>
    </rPh>
    <rPh sb="14" eb="17">
      <t>サイシュウケイ</t>
    </rPh>
    <rPh sb="18" eb="20">
      <t>キョウユウ</t>
    </rPh>
    <rPh sb="25" eb="26">
      <t>カ</t>
    </rPh>
    <phoneticPr fontId="1"/>
  </si>
  <si>
    <t>基本設計</t>
    <rPh sb="0" eb="4">
      <t>キホンセッケイ</t>
    </rPh>
    <phoneticPr fontId="1"/>
  </si>
  <si>
    <t>詳細設計</t>
    <rPh sb="0" eb="2">
      <t>ショウサイ</t>
    </rPh>
    <rPh sb="2" eb="4">
      <t>セッケイ</t>
    </rPh>
    <phoneticPr fontId="1"/>
  </si>
  <si>
    <t>製造</t>
    <rPh sb="0" eb="2">
      <t>セイゾウ</t>
    </rPh>
    <phoneticPr fontId="1"/>
  </si>
  <si>
    <t>リリース</t>
    <phoneticPr fontId="1"/>
  </si>
  <si>
    <t>ドキュメント</t>
    <phoneticPr fontId="1"/>
  </si>
  <si>
    <t>業務フロー図
要件一覧</t>
    <rPh sb="7" eb="9">
      <t>ヨウケン</t>
    </rPh>
    <phoneticPr fontId="1"/>
  </si>
  <si>
    <t>要件確定</t>
    <rPh sb="0" eb="2">
      <t>ヨウケン</t>
    </rPh>
    <rPh sb="2" eb="4">
      <t>カクテイ</t>
    </rPh>
    <phoneticPr fontId="1"/>
  </si>
  <si>
    <t>機能一覧
アーキテクチャ設計
データ設計
画面設計
処理フロー</t>
    <rPh sb="0" eb="4">
      <t>キノウイチラン</t>
    </rPh>
    <rPh sb="12" eb="14">
      <t>セッケイ</t>
    </rPh>
    <rPh sb="21" eb="23">
      <t>ガメン</t>
    </rPh>
    <rPh sb="23" eb="25">
      <t>セッケイ</t>
    </rPh>
    <rPh sb="26" eb="28">
      <t>ショリ</t>
    </rPh>
    <phoneticPr fontId="1"/>
  </si>
  <si>
    <t>なし</t>
    <phoneticPr fontId="1"/>
  </si>
  <si>
    <t>プログラム</t>
    <phoneticPr fontId="1"/>
  </si>
  <si>
    <t>結合試験</t>
    <rPh sb="0" eb="2">
      <t>ケツゴウ</t>
    </rPh>
    <rPh sb="2" eb="4">
      <t>シケン</t>
    </rPh>
    <phoneticPr fontId="1"/>
  </si>
  <si>
    <t>単体試験</t>
    <rPh sb="0" eb="2">
      <t>タンタイ</t>
    </rPh>
    <rPh sb="2" eb="4">
      <t>シケン</t>
    </rPh>
    <phoneticPr fontId="1"/>
  </si>
  <si>
    <t>単体試験仕様書
テストコード
単体テスト結果</t>
    <rPh sb="0" eb="2">
      <t>タンタイ</t>
    </rPh>
    <rPh sb="2" eb="4">
      <t>シケン</t>
    </rPh>
    <rPh sb="4" eb="7">
      <t>シヨウショ</t>
    </rPh>
    <rPh sb="15" eb="17">
      <t>タンタイ</t>
    </rPh>
    <phoneticPr fontId="1"/>
  </si>
  <si>
    <t>環境構築手順書
デプロイ手順書
リリース手順書
リリース後確認手順書</t>
    <rPh sb="12" eb="15">
      <t>テジュンショ</t>
    </rPh>
    <rPh sb="20" eb="23">
      <t>テジュンショ</t>
    </rPh>
    <phoneticPr fontId="1"/>
  </si>
  <si>
    <t>結合試験仕様書
結合テスト結果</t>
    <rPh sb="0" eb="2">
      <t>ケツゴウ</t>
    </rPh>
    <rPh sb="2" eb="4">
      <t>シケン</t>
    </rPh>
    <rPh sb="4" eb="7">
      <t>シヨウショ</t>
    </rPh>
    <rPh sb="8" eb="10">
      <t>ケツゴウ</t>
    </rPh>
    <rPh sb="13" eb="15">
      <t>ケッカ</t>
    </rPh>
    <phoneticPr fontId="1"/>
  </si>
  <si>
    <t>要望</t>
    <rPh sb="0" eb="2">
      <t>ヨウボウ</t>
    </rPh>
    <phoneticPr fontId="1"/>
  </si>
  <si>
    <t>受講生対応（SMS対応）の自動化</t>
    <rPh sb="0" eb="3">
      <t>ジュコウセイ</t>
    </rPh>
    <rPh sb="3" eb="5">
      <t>タイオウ</t>
    </rPh>
    <rPh sb="9" eb="11">
      <t>タイオウ</t>
    </rPh>
    <rPh sb="13" eb="16">
      <t>ジドウカ</t>
    </rPh>
    <phoneticPr fontId="1"/>
  </si>
  <si>
    <t>運用整理（受講生対応（SMS・電話）～共有）</t>
    <rPh sb="0" eb="2">
      <t>ウンヨウ</t>
    </rPh>
    <rPh sb="2" eb="4">
      <t>セイリ</t>
    </rPh>
    <rPh sb="5" eb="8">
      <t>ジュコウセイ</t>
    </rPh>
    <rPh sb="8" eb="10">
      <t>タイオウ</t>
    </rPh>
    <rPh sb="15" eb="17">
      <t>デンワ</t>
    </rPh>
    <rPh sb="19" eb="21">
      <t>キョウユウ</t>
    </rPh>
    <phoneticPr fontId="1"/>
  </si>
  <si>
    <t>勤怠の共有の簡易化</t>
    <rPh sb="0" eb="2">
      <t>キンタイ</t>
    </rPh>
    <rPh sb="3" eb="5">
      <t>キョウユウ</t>
    </rPh>
    <rPh sb="6" eb="9">
      <t>カンイカ</t>
    </rPh>
    <phoneticPr fontId="1"/>
  </si>
  <si>
    <t>集計結果の共有の簡易化</t>
    <rPh sb="0" eb="2">
      <t>シュウケイ</t>
    </rPh>
    <rPh sb="2" eb="4">
      <t>ケッカ</t>
    </rPh>
    <rPh sb="5" eb="7">
      <t>キョウユウ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</si>
</sst>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00B05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2" borderId="0" xfId="0" applyFill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3" fillId="2" borderId="1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vertical="top"/>
    </xf>
    <xf numFmtId="0" fontId="0" fillId="2" borderId="0" xfId="0" applyFill="1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2" borderId="2" xfId="0" applyFill="1" applyBorder="1" applyAlignment="1">
      <alignment vertical="top"/>
    </xf>
    <xf numFmtId="0" fontId="0" fillId="2" borderId="4" xfId="0" applyFill="1" applyBorder="1" applyAlignment="1">
      <alignment vertical="top"/>
    </xf>
    <xf numFmtId="0" fontId="0" fillId="2" borderId="3" xfId="0" applyFill="1" applyBorder="1" applyAlignment="1">
      <alignment vertical="top"/>
    </xf>
    <xf numFmtId="0" fontId="0" fillId="2" borderId="5" xfId="0" applyFill="1" applyBorder="1" applyAlignment="1">
      <alignment vertical="top"/>
    </xf>
    <xf numFmtId="0" fontId="0" fillId="2" borderId="6" xfId="0" applyFill="1" applyBorder="1" applyAlignment="1">
      <alignment vertical="top"/>
    </xf>
    <xf numFmtId="0" fontId="0" fillId="2" borderId="7" xfId="0" applyFill="1" applyBorder="1" applyAlignment="1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19C31-7F32-441C-8A86-8C46FCB2408F}">
  <dimension ref="B2:F42"/>
  <sheetViews>
    <sheetView tabSelected="1" workbookViewId="0">
      <pane ySplit="2" topLeftCell="A3" activePane="bottomLeft" state="frozen"/>
      <selection pane="bottomLeft"/>
    </sheetView>
  </sheetViews>
  <sheetFormatPr defaultRowHeight="18" x14ac:dyDescent="0.45"/>
  <cols>
    <col min="1" max="1" width="8.796875" style="1"/>
    <col min="2" max="2" width="25.69921875" style="1" customWidth="1"/>
    <col min="3" max="3" width="47.296875" style="1" bestFit="1" customWidth="1"/>
    <col min="4" max="4" width="47.296875" style="1" customWidth="1"/>
    <col min="5" max="5" width="66.59765625" style="1" customWidth="1"/>
    <col min="6" max="6" width="12.3984375" style="1" bestFit="1" customWidth="1"/>
    <col min="7" max="7" width="24.8984375" style="1" customWidth="1"/>
    <col min="8" max="16384" width="8.796875" style="1"/>
  </cols>
  <sheetData>
    <row r="2" spans="2:6" x14ac:dyDescent="0.45">
      <c r="B2" s="18" t="s">
        <v>50</v>
      </c>
      <c r="C2" s="18" t="s">
        <v>94</v>
      </c>
      <c r="D2" s="18" t="s">
        <v>69</v>
      </c>
      <c r="E2" s="5" t="s">
        <v>0</v>
      </c>
      <c r="F2" s="5" t="s">
        <v>1</v>
      </c>
    </row>
    <row r="3" spans="2:6" x14ac:dyDescent="0.45">
      <c r="B3" s="24" t="s">
        <v>52</v>
      </c>
      <c r="C3" s="1" t="s">
        <v>73</v>
      </c>
      <c r="D3" s="2"/>
      <c r="E3" s="3"/>
    </row>
    <row r="4" spans="2:6" x14ac:dyDescent="0.45">
      <c r="B4" s="25"/>
      <c r="C4" s="2" t="s">
        <v>65</v>
      </c>
      <c r="D4" s="2"/>
      <c r="E4" s="3"/>
    </row>
    <row r="5" spans="2:6" x14ac:dyDescent="0.45">
      <c r="B5" s="25"/>
      <c r="C5" s="2" t="s">
        <v>74</v>
      </c>
      <c r="D5" s="19"/>
    </row>
    <row r="6" spans="2:6" x14ac:dyDescent="0.45">
      <c r="B6" s="25"/>
      <c r="C6" s="2" t="s">
        <v>66</v>
      </c>
      <c r="D6" s="19"/>
      <c r="F6" s="4"/>
    </row>
    <row r="7" spans="2:6" x14ac:dyDescent="0.45">
      <c r="B7" s="25"/>
      <c r="C7" s="2" t="s">
        <v>67</v>
      </c>
      <c r="D7" s="19"/>
    </row>
    <row r="8" spans="2:6" x14ac:dyDescent="0.45">
      <c r="B8" s="26"/>
      <c r="C8" s="2" t="s">
        <v>68</v>
      </c>
    </row>
    <row r="9" spans="2:6" x14ac:dyDescent="0.45">
      <c r="B9" s="21" t="s">
        <v>8</v>
      </c>
      <c r="C9" s="1" t="s">
        <v>57</v>
      </c>
    </row>
    <row r="10" spans="2:6" x14ac:dyDescent="0.45">
      <c r="B10" s="22"/>
      <c r="C10" s="1" t="s">
        <v>58</v>
      </c>
    </row>
    <row r="11" spans="2:6" x14ac:dyDescent="0.45">
      <c r="B11" s="22"/>
      <c r="C11" s="1" t="s">
        <v>63</v>
      </c>
    </row>
    <row r="12" spans="2:6" x14ac:dyDescent="0.45">
      <c r="B12" s="23"/>
      <c r="C12" s="1" t="s">
        <v>64</v>
      </c>
    </row>
    <row r="13" spans="2:6" x14ac:dyDescent="0.45">
      <c r="B13" s="2" t="s">
        <v>13</v>
      </c>
      <c r="C13" s="1" t="s">
        <v>59</v>
      </c>
    </row>
    <row r="14" spans="2:6" x14ac:dyDescent="0.45">
      <c r="B14" s="19"/>
      <c r="C14" s="1" t="s">
        <v>60</v>
      </c>
    </row>
    <row r="15" spans="2:6" x14ac:dyDescent="0.45">
      <c r="C15" s="1" t="s">
        <v>61</v>
      </c>
    </row>
    <row r="16" spans="2:6" x14ac:dyDescent="0.45">
      <c r="C16" s="1" t="s">
        <v>62</v>
      </c>
    </row>
    <row r="17" spans="2:3" x14ac:dyDescent="0.45">
      <c r="C17" s="1" t="s">
        <v>76</v>
      </c>
    </row>
    <row r="18" spans="2:3" x14ac:dyDescent="0.45">
      <c r="C18" s="1" t="s">
        <v>75</v>
      </c>
    </row>
    <row r="19" spans="2:3" x14ac:dyDescent="0.45">
      <c r="C19" s="1" t="s">
        <v>63</v>
      </c>
    </row>
    <row r="20" spans="2:3" x14ac:dyDescent="0.45">
      <c r="C20" s="1" t="s">
        <v>64</v>
      </c>
    </row>
    <row r="22" spans="2:3" x14ac:dyDescent="0.45">
      <c r="B22" s="1" t="s">
        <v>53</v>
      </c>
      <c r="C22" s="1" t="s">
        <v>77</v>
      </c>
    </row>
    <row r="23" spans="2:3" x14ac:dyDescent="0.45">
      <c r="C23" s="1" t="s">
        <v>70</v>
      </c>
    </row>
    <row r="24" spans="2:3" x14ac:dyDescent="0.45">
      <c r="C24" s="1" t="s">
        <v>98</v>
      </c>
    </row>
    <row r="25" spans="2:3" x14ac:dyDescent="0.45">
      <c r="C25" s="1" t="s">
        <v>71</v>
      </c>
    </row>
    <row r="26" spans="2:3" x14ac:dyDescent="0.45">
      <c r="B26" s="1" t="s">
        <v>54</v>
      </c>
      <c r="C26" s="1" t="s">
        <v>77</v>
      </c>
    </row>
    <row r="27" spans="2:3" x14ac:dyDescent="0.45">
      <c r="C27" s="1" t="s">
        <v>70</v>
      </c>
    </row>
    <row r="28" spans="2:3" x14ac:dyDescent="0.45">
      <c r="C28" s="1" t="s">
        <v>98</v>
      </c>
    </row>
    <row r="29" spans="2:3" x14ac:dyDescent="0.45">
      <c r="C29" s="1" t="s">
        <v>71</v>
      </c>
    </row>
    <row r="30" spans="2:3" x14ac:dyDescent="0.45">
      <c r="B30" s="1" t="s">
        <v>55</v>
      </c>
      <c r="C30" s="1" t="s">
        <v>96</v>
      </c>
    </row>
    <row r="31" spans="2:3" x14ac:dyDescent="0.45">
      <c r="C31" s="1" t="s">
        <v>95</v>
      </c>
    </row>
    <row r="32" spans="2:3" x14ac:dyDescent="0.45">
      <c r="C32" s="1" t="s">
        <v>97</v>
      </c>
    </row>
    <row r="33" spans="2:3" x14ac:dyDescent="0.45">
      <c r="B33" s="1" t="s">
        <v>56</v>
      </c>
      <c r="C33" s="1" t="s">
        <v>78</v>
      </c>
    </row>
    <row r="34" spans="2:3" x14ac:dyDescent="0.45">
      <c r="C34" s="1" t="s">
        <v>70</v>
      </c>
    </row>
    <row r="35" spans="2:3" x14ac:dyDescent="0.45">
      <c r="C35" s="1" t="s">
        <v>98</v>
      </c>
    </row>
    <row r="36" spans="2:3" x14ac:dyDescent="0.45">
      <c r="C36" s="1" t="s">
        <v>71</v>
      </c>
    </row>
    <row r="37" spans="2:3" x14ac:dyDescent="0.45">
      <c r="C37" s="1" t="s">
        <v>72</v>
      </c>
    </row>
    <row r="38" spans="2:3" x14ac:dyDescent="0.45">
      <c r="B38" s="1" t="s">
        <v>20</v>
      </c>
      <c r="C38" s="1" t="s">
        <v>78</v>
      </c>
    </row>
    <row r="39" spans="2:3" x14ac:dyDescent="0.45">
      <c r="C39" s="1" t="s">
        <v>70</v>
      </c>
    </row>
    <row r="40" spans="2:3" x14ac:dyDescent="0.45">
      <c r="C40" s="1" t="s">
        <v>98</v>
      </c>
    </row>
    <row r="41" spans="2:3" x14ac:dyDescent="0.45">
      <c r="C41" s="1" t="s">
        <v>71</v>
      </c>
    </row>
    <row r="42" spans="2:3" x14ac:dyDescent="0.45">
      <c r="C42" s="1" t="s">
        <v>72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3BD5-9ECF-45BC-A450-6172FCD0B19D}">
  <dimension ref="B2:F24"/>
  <sheetViews>
    <sheetView workbookViewId="0">
      <pane ySplit="2" topLeftCell="A3" activePane="bottomLeft" state="frozen"/>
      <selection pane="bottomLeft" activeCell="A8" sqref="A8"/>
    </sheetView>
  </sheetViews>
  <sheetFormatPr defaultRowHeight="18" x14ac:dyDescent="0.45"/>
  <cols>
    <col min="1" max="1" width="8.796875" style="1"/>
    <col min="2" max="2" width="25.69921875" style="1" customWidth="1"/>
    <col min="3" max="3" width="47.296875" style="1" bestFit="1" customWidth="1"/>
    <col min="4" max="4" width="66.59765625" style="1" customWidth="1"/>
    <col min="5" max="5" width="12.3984375" style="1" bestFit="1" customWidth="1"/>
    <col min="6" max="6" width="24.8984375" style="1" customWidth="1"/>
    <col min="7" max="16384" width="8.796875" style="1"/>
  </cols>
  <sheetData>
    <row r="2" spans="2:6" x14ac:dyDescent="0.45">
      <c r="B2" s="14" t="s">
        <v>2</v>
      </c>
      <c r="C2" s="14"/>
      <c r="D2" s="5" t="s">
        <v>0</v>
      </c>
      <c r="E2" s="5" t="s">
        <v>1</v>
      </c>
    </row>
    <row r="3" spans="2:6" x14ac:dyDescent="0.45">
      <c r="B3" s="2" t="s">
        <v>7</v>
      </c>
      <c r="C3" s="2" t="s">
        <v>5</v>
      </c>
      <c r="D3" s="3" t="s">
        <v>41</v>
      </c>
      <c r="E3" s="8">
        <v>4</v>
      </c>
    </row>
    <row r="4" spans="2:6" x14ac:dyDescent="0.45">
      <c r="B4" s="9" t="s">
        <v>31</v>
      </c>
      <c r="C4" s="2" t="s">
        <v>6</v>
      </c>
      <c r="D4" s="3" t="s">
        <v>29</v>
      </c>
      <c r="E4" s="2">
        <v>0.5</v>
      </c>
    </row>
    <row r="5" spans="2:6" x14ac:dyDescent="0.45">
      <c r="B5" s="11"/>
      <c r="C5" s="2" t="s">
        <v>30</v>
      </c>
      <c r="D5" s="3" t="s">
        <v>42</v>
      </c>
      <c r="E5" s="2">
        <v>3</v>
      </c>
    </row>
    <row r="6" spans="2:6" x14ac:dyDescent="0.45">
      <c r="B6" s="10"/>
      <c r="C6" s="3" t="s">
        <v>22</v>
      </c>
      <c r="D6" s="2" t="s">
        <v>28</v>
      </c>
      <c r="E6" s="2">
        <v>1</v>
      </c>
    </row>
    <row r="7" spans="2:6" ht="72" x14ac:dyDescent="0.45">
      <c r="B7" s="12" t="s">
        <v>4</v>
      </c>
      <c r="C7" s="3" t="s">
        <v>39</v>
      </c>
      <c r="D7" s="3" t="s">
        <v>40</v>
      </c>
      <c r="E7" s="2">
        <v>10</v>
      </c>
    </row>
    <row r="8" spans="2:6" ht="180" x14ac:dyDescent="0.45">
      <c r="B8" s="12"/>
      <c r="C8" s="3" t="s">
        <v>23</v>
      </c>
      <c r="D8" s="3" t="s">
        <v>47</v>
      </c>
      <c r="E8" s="8">
        <f>10*2</f>
        <v>20</v>
      </c>
      <c r="F8" s="1" t="s">
        <v>36</v>
      </c>
    </row>
    <row r="9" spans="2:6" ht="126" x14ac:dyDescent="0.45">
      <c r="B9" s="6" t="s">
        <v>32</v>
      </c>
      <c r="C9" s="3" t="s">
        <v>24</v>
      </c>
      <c r="D9" s="3" t="s">
        <v>48</v>
      </c>
      <c r="E9" s="8">
        <f>18*6</f>
        <v>108</v>
      </c>
      <c r="F9" s="7" t="s">
        <v>49</v>
      </c>
    </row>
    <row r="10" spans="2:6" x14ac:dyDescent="0.45">
      <c r="B10" s="9" t="s">
        <v>16</v>
      </c>
      <c r="C10" s="2" t="s">
        <v>9</v>
      </c>
      <c r="D10" s="15" t="s">
        <v>43</v>
      </c>
      <c r="E10" s="9">
        <f>240/8</f>
        <v>30</v>
      </c>
      <c r="F10" s="1" t="s">
        <v>33</v>
      </c>
    </row>
    <row r="11" spans="2:6" x14ac:dyDescent="0.45">
      <c r="B11" s="11"/>
      <c r="C11" s="2" t="s">
        <v>10</v>
      </c>
      <c r="D11" s="16"/>
      <c r="E11" s="11"/>
    </row>
    <row r="12" spans="2:6" ht="44.4" customHeight="1" x14ac:dyDescent="0.45">
      <c r="B12" s="10"/>
      <c r="C12" s="2" t="s">
        <v>44</v>
      </c>
      <c r="D12" s="17"/>
      <c r="E12" s="10"/>
    </row>
    <row r="13" spans="2:6" ht="72" x14ac:dyDescent="0.45">
      <c r="B13" s="9" t="s">
        <v>12</v>
      </c>
      <c r="C13" s="2" t="s">
        <v>34</v>
      </c>
      <c r="D13" s="3" t="s">
        <v>45</v>
      </c>
      <c r="E13" s="2">
        <v>6</v>
      </c>
    </row>
    <row r="14" spans="2:6" ht="36" x14ac:dyDescent="0.45">
      <c r="B14" s="10"/>
      <c r="C14" s="2" t="s">
        <v>11</v>
      </c>
      <c r="D14" s="3" t="s">
        <v>17</v>
      </c>
      <c r="E14" s="2">
        <v>2</v>
      </c>
    </row>
    <row r="15" spans="2:6" ht="342" x14ac:dyDescent="0.45">
      <c r="B15" s="9" t="s">
        <v>8</v>
      </c>
      <c r="C15" s="2" t="s">
        <v>19</v>
      </c>
      <c r="D15" s="3" t="s">
        <v>25</v>
      </c>
      <c r="E15" s="2">
        <f>16*1*1.5</f>
        <v>24</v>
      </c>
      <c r="F15" s="1" t="s">
        <v>46</v>
      </c>
    </row>
    <row r="16" spans="2:6" ht="342" x14ac:dyDescent="0.45">
      <c r="B16" s="11"/>
      <c r="C16" s="2" t="s">
        <v>3</v>
      </c>
      <c r="D16" s="3" t="s">
        <v>25</v>
      </c>
      <c r="E16" s="2">
        <f>16*1*1.5</f>
        <v>24</v>
      </c>
      <c r="F16" s="1" t="s">
        <v>46</v>
      </c>
    </row>
    <row r="17" spans="2:6" ht="342" x14ac:dyDescent="0.45">
      <c r="B17" s="11"/>
      <c r="C17" s="2" t="s">
        <v>15</v>
      </c>
      <c r="D17" s="3" t="s">
        <v>25</v>
      </c>
      <c r="E17" s="2">
        <f>16*0.5</f>
        <v>8</v>
      </c>
      <c r="F17" s="1" t="s">
        <v>37</v>
      </c>
    </row>
    <row r="18" spans="2:6" ht="54" x14ac:dyDescent="0.45">
      <c r="B18" s="11"/>
      <c r="C18" s="2" t="s">
        <v>18</v>
      </c>
      <c r="D18" s="3" t="s">
        <v>26</v>
      </c>
      <c r="E18" s="2">
        <f>2*0.5</f>
        <v>1</v>
      </c>
      <c r="F18" s="1" t="s">
        <v>37</v>
      </c>
    </row>
    <row r="19" spans="2:6" ht="270" x14ac:dyDescent="0.45">
      <c r="B19" s="10"/>
      <c r="C19" s="2" t="s">
        <v>20</v>
      </c>
      <c r="D19" s="3" t="s">
        <v>38</v>
      </c>
      <c r="E19" s="2">
        <f>12*0.5</f>
        <v>6</v>
      </c>
      <c r="F19" s="1" t="s">
        <v>37</v>
      </c>
    </row>
    <row r="20" spans="2:6" ht="36" customHeight="1" x14ac:dyDescent="0.45">
      <c r="B20" s="12" t="s">
        <v>21</v>
      </c>
      <c r="C20" s="2" t="s">
        <v>14</v>
      </c>
      <c r="D20" s="13" t="s">
        <v>27</v>
      </c>
      <c r="E20" s="2">
        <v>3</v>
      </c>
    </row>
    <row r="21" spans="2:6" ht="36" customHeight="1" x14ac:dyDescent="0.45">
      <c r="B21" s="12"/>
      <c r="C21" s="2" t="s">
        <v>3</v>
      </c>
      <c r="D21" s="13"/>
      <c r="E21" s="2">
        <v>5</v>
      </c>
    </row>
    <row r="22" spans="2:6" x14ac:dyDescent="0.45">
      <c r="B22" s="2" t="s">
        <v>35</v>
      </c>
      <c r="C22" s="2"/>
      <c r="D22" s="3"/>
      <c r="E22" s="2">
        <v>1</v>
      </c>
    </row>
    <row r="23" spans="2:6" x14ac:dyDescent="0.45">
      <c r="E23" s="1">
        <f>SUM(E1:E21)</f>
        <v>255.5</v>
      </c>
    </row>
    <row r="24" spans="2:6" x14ac:dyDescent="0.45">
      <c r="E24" s="4">
        <f>ROUNDUP(E23*1.3,0)</f>
        <v>333</v>
      </c>
    </row>
  </sheetData>
  <mergeCells count="10">
    <mergeCell ref="B20:B21"/>
    <mergeCell ref="D20:D21"/>
    <mergeCell ref="B10:B12"/>
    <mergeCell ref="D10:D12"/>
    <mergeCell ref="B15:B19"/>
    <mergeCell ref="E10:E12"/>
    <mergeCell ref="B13:B14"/>
    <mergeCell ref="B2:C2"/>
    <mergeCell ref="B4:B6"/>
    <mergeCell ref="B7:B8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FA20-2618-4448-84AE-35D356F77BBD}">
  <dimension ref="C2:F10"/>
  <sheetViews>
    <sheetView workbookViewId="0">
      <selection activeCell="F9" sqref="F9"/>
    </sheetView>
  </sheetViews>
  <sheetFormatPr defaultRowHeight="18" x14ac:dyDescent="0.45"/>
  <cols>
    <col min="3" max="3" width="14.3984375" bestFit="1" customWidth="1"/>
    <col min="6" max="6" width="62.5" customWidth="1"/>
  </cols>
  <sheetData>
    <row r="2" spans="3:6" x14ac:dyDescent="0.45">
      <c r="C2" s="18" t="s">
        <v>50</v>
      </c>
      <c r="E2" s="18" t="s">
        <v>69</v>
      </c>
      <c r="F2" s="18" t="s">
        <v>83</v>
      </c>
    </row>
    <row r="3" spans="3:6" ht="36" x14ac:dyDescent="0.45">
      <c r="C3" s="2" t="s">
        <v>52</v>
      </c>
      <c r="E3" t="s">
        <v>85</v>
      </c>
      <c r="F3" s="20" t="s">
        <v>84</v>
      </c>
    </row>
    <row r="4" spans="3:6" ht="90" x14ac:dyDescent="0.45">
      <c r="C4" s="2" t="s">
        <v>8</v>
      </c>
      <c r="E4" t="s">
        <v>79</v>
      </c>
      <c r="F4" s="20" t="s">
        <v>86</v>
      </c>
    </row>
    <row r="5" spans="3:6" x14ac:dyDescent="0.45">
      <c r="C5" s="1" t="s">
        <v>51</v>
      </c>
      <c r="E5" t="s">
        <v>80</v>
      </c>
      <c r="F5" t="s">
        <v>87</v>
      </c>
    </row>
    <row r="6" spans="3:6" x14ac:dyDescent="0.45">
      <c r="C6" s="1" t="s">
        <v>53</v>
      </c>
      <c r="E6" t="s">
        <v>81</v>
      </c>
      <c r="F6" t="s">
        <v>88</v>
      </c>
    </row>
    <row r="7" spans="3:6" ht="54" x14ac:dyDescent="0.45">
      <c r="C7" s="1" t="s">
        <v>54</v>
      </c>
      <c r="E7" t="s">
        <v>90</v>
      </c>
      <c r="F7" s="20" t="s">
        <v>91</v>
      </c>
    </row>
    <row r="8" spans="3:6" ht="36" x14ac:dyDescent="0.45">
      <c r="C8" s="1" t="s">
        <v>55</v>
      </c>
      <c r="E8" t="s">
        <v>89</v>
      </c>
      <c r="F8" s="20" t="s">
        <v>93</v>
      </c>
    </row>
    <row r="9" spans="3:6" ht="72" x14ac:dyDescent="0.45">
      <c r="C9" s="1" t="s">
        <v>56</v>
      </c>
      <c r="E9" t="s">
        <v>82</v>
      </c>
      <c r="F9" s="20" t="s">
        <v>92</v>
      </c>
    </row>
    <row r="10" spans="3:6" x14ac:dyDescent="0.45">
      <c r="C10" s="1" t="s">
        <v>20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新入社員研修</vt:lpstr>
      <vt:lpstr>案件企画・講師アサイン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直樹 石田</dc:creator>
  <cp:lastModifiedBy>直樹 石田</cp:lastModifiedBy>
  <dcterms:created xsi:type="dcterms:W3CDTF">2024-09-23T15:39:05Z</dcterms:created>
  <dcterms:modified xsi:type="dcterms:W3CDTF">2026-08-07T10:49:21Z</dcterms:modified>
</cp:coreProperties>
</file>