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見積もり\"/>
    </mc:Choice>
  </mc:AlternateContent>
  <xr:revisionPtr revIDLastSave="0" documentId="13_ncr:1_{A67E442E-291F-42E1-8FD0-C681655BE292}" xr6:coauthVersionLast="47" xr6:coauthVersionMax="47" xr10:uidLastSave="{00000000-0000-0000-0000-000000000000}"/>
  <bookViews>
    <workbookView xWindow="-108" yWindow="-108" windowWidth="23256" windowHeight="12456" xr2:uid="{15EF4DE1-B99D-4880-9633-29B1123E0732}"/>
    <workbookView visibility="hidden" xWindow="-108" yWindow="-108" windowWidth="23256" windowHeight="12456" xr2:uid="{C65C5D77-B639-4F64-AF52-B4C7E51F9C13}"/>
  </bookViews>
  <sheets>
    <sheet name="研修管理" sheetId="11" r:id="rId1"/>
    <sheet name="研修管理(詳細)" sheetId="9" r:id="rId2"/>
    <sheet name="項目表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1" l="1"/>
  <c r="H21" i="11" s="1"/>
  <c r="G18" i="11"/>
  <c r="G12" i="11"/>
  <c r="F117" i="9"/>
  <c r="F111" i="9"/>
  <c r="G20" i="11" l="1"/>
  <c r="G21" i="11" s="1"/>
  <c r="F92" i="9" l="1"/>
  <c r="F91" i="9"/>
  <c r="F90" i="9"/>
  <c r="F89" i="9"/>
  <c r="F88" i="9"/>
  <c r="F119" i="9" l="1"/>
  <c r="F120" i="9" l="1"/>
</calcChain>
</file>

<file path=xl/sharedStrings.xml><?xml version="1.0" encoding="utf-8"?>
<sst xmlns="http://schemas.openxmlformats.org/spreadsheetml/2006/main" count="269" uniqueCount="117">
  <si>
    <t>工数（人日）</t>
    <rPh sb="0" eb="2">
      <t>コウスウ</t>
    </rPh>
    <rPh sb="3" eb="5">
      <t>ニンニチ</t>
    </rPh>
    <phoneticPr fontId="1"/>
  </si>
  <si>
    <t>Track構築</t>
    <phoneticPr fontId="1"/>
  </si>
  <si>
    <t>修了判定テスト</t>
    <rPh sb="0" eb="4">
      <t>シュウリョウハンテイ</t>
    </rPh>
    <phoneticPr fontId="1"/>
  </si>
  <si>
    <t>カテゴリ</t>
    <phoneticPr fontId="1"/>
  </si>
  <si>
    <t>教材準備</t>
  </si>
  <si>
    <t>教材準備</t>
    <rPh sb="0" eb="2">
      <t>キョウザイ</t>
    </rPh>
    <rPh sb="2" eb="4">
      <t>ジュンビ</t>
    </rPh>
    <phoneticPr fontId="1"/>
  </si>
  <si>
    <t>パルスサーベイ</t>
  </si>
  <si>
    <t>業務日誌</t>
    <rPh sb="0" eb="4">
      <t>ギョウムニッシ</t>
    </rPh>
    <phoneticPr fontId="1"/>
  </si>
  <si>
    <t>勤怠管理</t>
    <rPh sb="0" eb="2">
      <t>キンタイ</t>
    </rPh>
    <rPh sb="2" eb="4">
      <t>カンリ</t>
    </rPh>
    <phoneticPr fontId="1"/>
  </si>
  <si>
    <t>アンケート</t>
    <phoneticPr fontId="1"/>
  </si>
  <si>
    <t>工程</t>
    <rPh sb="0" eb="2">
      <t>コウテイ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</si>
  <si>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</si>
  <si>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</si>
  <si>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製造</t>
    <rPh sb="0" eb="2">
      <t>セイゾウ</t>
    </rPh>
    <phoneticPr fontId="1"/>
  </si>
  <si>
    <t>リリース</t>
    <phoneticPr fontId="1"/>
  </si>
  <si>
    <t>ドキュメント</t>
    <phoneticPr fontId="1"/>
  </si>
  <si>
    <t>業務フロー図
要件一覧</t>
    <rPh sb="7" eb="9">
      <t>ヨウケン</t>
    </rPh>
    <phoneticPr fontId="1"/>
  </si>
  <si>
    <t>機能一覧
アーキテクチャ設計
データ設計
画面設計
処理フロー</t>
    <rPh sb="0" eb="4">
      <t>キノウイチラン</t>
    </rPh>
    <rPh sb="12" eb="14">
      <t>セッケイ</t>
    </rPh>
    <rPh sb="21" eb="23">
      <t>ガメン</t>
    </rPh>
    <rPh sb="23" eb="25">
      <t>セッケイ</t>
    </rPh>
    <rPh sb="26" eb="28">
      <t>ショリ</t>
    </rPh>
    <phoneticPr fontId="1"/>
  </si>
  <si>
    <t>なし</t>
    <phoneticPr fontId="1"/>
  </si>
  <si>
    <t>プログラム</t>
    <phoneticPr fontId="1"/>
  </si>
  <si>
    <t>要件定義</t>
    <rPh sb="0" eb="2">
      <t>ヨウケン</t>
    </rPh>
    <rPh sb="2" eb="4">
      <t>テイギ</t>
    </rPh>
    <phoneticPr fontId="1"/>
  </si>
  <si>
    <t>業務分析</t>
    <rPh sb="0" eb="2">
      <t>ギョウム</t>
    </rPh>
    <rPh sb="2" eb="4">
      <t>ブンセキ</t>
    </rPh>
    <phoneticPr fontId="1"/>
  </si>
  <si>
    <t>本番環境構築
環境構築手順書
デプロイ手順書
リリース手順書
リリース後確認手順書
マニュアル</t>
    <rPh sb="0" eb="2">
      <t>ホンバン</t>
    </rPh>
    <rPh sb="2" eb="4">
      <t>カンキョウ</t>
    </rPh>
    <rPh sb="4" eb="6">
      <t>コウチク</t>
    </rPh>
    <rPh sb="19" eb="22">
      <t>テジュンショ</t>
    </rPh>
    <rPh sb="27" eb="30">
      <t>テジュンショ</t>
    </rPh>
    <phoneticPr fontId="1"/>
  </si>
  <si>
    <t>単体テスト</t>
    <rPh sb="0" eb="2">
      <t>タンタイ</t>
    </rPh>
    <phoneticPr fontId="1"/>
  </si>
  <si>
    <t>テスト仕様書
テストコード
テスト結果</t>
    <rPh sb="3" eb="6">
      <t>シヨウショ</t>
    </rPh>
    <phoneticPr fontId="1"/>
  </si>
  <si>
    <t>結合テスト</t>
    <rPh sb="0" eb="2">
      <t>ケツゴウ</t>
    </rPh>
    <phoneticPr fontId="1"/>
  </si>
  <si>
    <t>テスト仕様書
テスト結果</t>
    <rPh sb="3" eb="6">
      <t>シヨウショ</t>
    </rPh>
    <rPh sb="10" eb="12">
      <t>ケッカ</t>
    </rPh>
    <phoneticPr fontId="1"/>
  </si>
  <si>
    <t>受入テスト</t>
    <rPh sb="0" eb="2">
      <t>ウケイレ</t>
    </rPh>
    <phoneticPr fontId="1"/>
  </si>
  <si>
    <t>テスト環境構築
テスト仕様書
テスト結果</t>
    <rPh sb="11" eb="14">
      <t>シヨウショ</t>
    </rPh>
    <rPh sb="18" eb="20">
      <t>ケッカ</t>
    </rPh>
    <phoneticPr fontId="1"/>
  </si>
  <si>
    <t>研修管理</t>
    <rPh sb="0" eb="2">
      <t>ケンシュウ</t>
    </rPh>
    <rPh sb="2" eb="4">
      <t>カンリ</t>
    </rPh>
    <phoneticPr fontId="1"/>
  </si>
  <si>
    <t>設計</t>
    <rPh sb="0" eb="2">
      <t>セッケイ</t>
    </rPh>
    <phoneticPr fontId="1"/>
  </si>
  <si>
    <t>マスタ管理</t>
    <rPh sb="3" eb="5">
      <t>カンリ</t>
    </rPh>
    <phoneticPr fontId="1"/>
  </si>
  <si>
    <t>要件定義</t>
    <rPh sb="0" eb="4">
      <t>ヨウケンテイギ</t>
    </rPh>
    <phoneticPr fontId="1"/>
  </si>
  <si>
    <t>受託先マスタ、年度別データ</t>
    <rPh sb="0" eb="3">
      <t>ジュタクサキ</t>
    </rPh>
    <rPh sb="7" eb="10">
      <t>ネンドベツ</t>
    </rPh>
    <phoneticPr fontId="1"/>
  </si>
  <si>
    <t>クラスマスタ、年度別データ</t>
    <phoneticPr fontId="1"/>
  </si>
  <si>
    <t>ベンダーマスタ、年度別データ</t>
    <phoneticPr fontId="1"/>
  </si>
  <si>
    <t>講師マスタ、年度別データ</t>
    <rPh sb="0" eb="2">
      <t>コウシ</t>
    </rPh>
    <phoneticPr fontId="1"/>
  </si>
  <si>
    <t>研修場所マスタ、年度別データ</t>
    <rPh sb="0" eb="4">
      <t>ケンシュウバショ</t>
    </rPh>
    <phoneticPr fontId="1"/>
  </si>
  <si>
    <t>準備作業マスタ、年度別データ</t>
    <rPh sb="0" eb="4">
      <t>ジュンビサギョウ</t>
    </rPh>
    <phoneticPr fontId="1"/>
  </si>
  <si>
    <t>汎用マスタ</t>
    <rPh sb="0" eb="2">
      <t>ハンヨウ</t>
    </rPh>
    <phoneticPr fontId="1"/>
  </si>
  <si>
    <t>研修社内進捗管理</t>
    <rPh sb="0" eb="2">
      <t>ケンシュウ</t>
    </rPh>
    <rPh sb="2" eb="4">
      <t>シャナイ</t>
    </rPh>
    <rPh sb="4" eb="6">
      <t>シンチョク</t>
    </rPh>
    <rPh sb="6" eb="8">
      <t>カンリ</t>
    </rPh>
    <phoneticPr fontId="1"/>
  </si>
  <si>
    <t>研修情報を登録／更新する</t>
    <rPh sb="0" eb="2">
      <t>ケンシュウ</t>
    </rPh>
    <rPh sb="2" eb="4">
      <t>ジョウホウ</t>
    </rPh>
    <rPh sb="5" eb="7">
      <t>トウロク</t>
    </rPh>
    <rPh sb="8" eb="10">
      <t>コウシン</t>
    </rPh>
    <phoneticPr fontId="1"/>
  </si>
  <si>
    <t>研修一覧を表示する</t>
    <rPh sb="0" eb="2">
      <t>ケンシュウ</t>
    </rPh>
    <rPh sb="2" eb="4">
      <t>イチラン</t>
    </rPh>
    <rPh sb="5" eb="7">
      <t>ヒョウジ</t>
    </rPh>
    <phoneticPr fontId="1"/>
  </si>
  <si>
    <t>顧客マスタ、年度別データ</t>
    <rPh sb="0" eb="2">
      <t>コキャク</t>
    </rPh>
    <phoneticPr fontId="1"/>
  </si>
  <si>
    <t>中止処理マスタ、年度別データ</t>
    <rPh sb="0" eb="2">
      <t>チュウシ</t>
    </rPh>
    <rPh sb="2" eb="4">
      <t>ショリ</t>
    </rPh>
    <phoneticPr fontId="1"/>
  </si>
  <si>
    <t>研修運営進捗管理</t>
    <rPh sb="0" eb="2">
      <t>ケンシュウ</t>
    </rPh>
    <rPh sb="2" eb="4">
      <t>ウンエイ</t>
    </rPh>
    <rPh sb="4" eb="6">
      <t>シンチョク</t>
    </rPh>
    <rPh sb="6" eb="8">
      <t>カンリ</t>
    </rPh>
    <phoneticPr fontId="1"/>
  </si>
  <si>
    <t>お客様と契約したコースの</t>
    <rPh sb="1" eb="3">
      <t>キャクサマ</t>
    </rPh>
    <rPh sb="4" eb="6">
      <t>ケイヤク</t>
    </rPh>
    <phoneticPr fontId="1"/>
  </si>
  <si>
    <t>情報を取り扱います</t>
    <rPh sb="0" eb="2">
      <t>ジョウホウ</t>
    </rPh>
    <rPh sb="3" eb="4">
      <t>ト</t>
    </rPh>
    <rPh sb="5" eb="6">
      <t>アツカ</t>
    </rPh>
    <phoneticPr fontId="1"/>
  </si>
  <si>
    <t>コース・クラス登録から</t>
    <rPh sb="7" eb="9">
      <t>トウロク</t>
    </rPh>
    <phoneticPr fontId="1"/>
  </si>
  <si>
    <t>中止処理の進捗を管理します</t>
    <rPh sb="0" eb="4">
      <t>チュウシショリ</t>
    </rPh>
    <rPh sb="5" eb="7">
      <t>シンチョク</t>
    </rPh>
    <rPh sb="8" eb="10">
      <t>カンリ</t>
    </rPh>
    <phoneticPr fontId="1"/>
  </si>
  <si>
    <t>研修運営進捗一覧を表示する</t>
    <rPh sb="0" eb="2">
      <t>ケンシュウ</t>
    </rPh>
    <rPh sb="2" eb="4">
      <t>ウンエイ</t>
    </rPh>
    <rPh sb="4" eb="6">
      <t>シンチョク</t>
    </rPh>
    <rPh sb="6" eb="8">
      <t>イチラン</t>
    </rPh>
    <rPh sb="9" eb="11">
      <t>ヒョウジ</t>
    </rPh>
    <phoneticPr fontId="1"/>
  </si>
  <si>
    <t>再テストリマインドメール、</t>
    <rPh sb="0" eb="1">
      <t>サイ</t>
    </rPh>
    <phoneticPr fontId="1"/>
  </si>
  <si>
    <t>研修運営進捗状況を更新する</t>
    <rPh sb="0" eb="2">
      <t>ケンシュウ</t>
    </rPh>
    <rPh sb="2" eb="4">
      <t>ウンエイ</t>
    </rPh>
    <rPh sb="4" eb="6">
      <t>シンチョク</t>
    </rPh>
    <rPh sb="6" eb="8">
      <t>ジョウキョウ</t>
    </rPh>
    <rPh sb="9" eb="11">
      <t>コウシン</t>
    </rPh>
    <phoneticPr fontId="1"/>
  </si>
  <si>
    <t>運営進捗の遅れを表示する</t>
    <rPh sb="0" eb="4">
      <t>ウンエイシンチョク</t>
    </rPh>
    <rPh sb="5" eb="6">
      <t>オク</t>
    </rPh>
    <rPh sb="8" eb="10">
      <t>ヒョウジ</t>
    </rPh>
    <phoneticPr fontId="1"/>
  </si>
  <si>
    <t>社内進捗マスタ、年度別データ</t>
    <rPh sb="0" eb="4">
      <t>シャナイシンチョク</t>
    </rPh>
    <phoneticPr fontId="1"/>
  </si>
  <si>
    <t>開発会議から請求までの</t>
    <rPh sb="0" eb="4">
      <t>カイハツカイギ</t>
    </rPh>
    <rPh sb="6" eb="8">
      <t>セイキュウ</t>
    </rPh>
    <phoneticPr fontId="1"/>
  </si>
  <si>
    <t>予実、ステータスを管理</t>
    <rPh sb="0" eb="2">
      <t>ヨジツ</t>
    </rPh>
    <rPh sb="9" eb="11">
      <t>カンリ</t>
    </rPh>
    <phoneticPr fontId="1"/>
  </si>
  <si>
    <t>します</t>
    <phoneticPr fontId="1"/>
  </si>
  <si>
    <t>社内進捗の遅れを表示する</t>
    <rPh sb="0" eb="2">
      <t>シャナイ</t>
    </rPh>
    <rPh sb="2" eb="4">
      <t>シンチョク</t>
    </rPh>
    <rPh sb="5" eb="6">
      <t>オク</t>
    </rPh>
    <rPh sb="8" eb="10">
      <t>ヒョウジ</t>
    </rPh>
    <phoneticPr fontId="1"/>
  </si>
  <si>
    <t>社内進捗一覧を表示する</t>
    <rPh sb="0" eb="2">
      <t>シャナイ</t>
    </rPh>
    <rPh sb="2" eb="4">
      <t>シンチョク</t>
    </rPh>
    <rPh sb="4" eb="6">
      <t>イチラン</t>
    </rPh>
    <rPh sb="7" eb="9">
      <t>ヒョウジ</t>
    </rPh>
    <phoneticPr fontId="1"/>
  </si>
  <si>
    <t>社内進捗を更新する</t>
    <rPh sb="0" eb="2">
      <t>シャナイ</t>
    </rPh>
    <rPh sb="2" eb="4">
      <t>シンチョク</t>
    </rPh>
    <rPh sb="5" eb="7">
      <t>コウシン</t>
    </rPh>
    <phoneticPr fontId="1"/>
  </si>
  <si>
    <t>社内進捗一覧をファイル出力する</t>
    <rPh sb="0" eb="2">
      <t>シャナイ</t>
    </rPh>
    <rPh sb="2" eb="4">
      <t>シンチョク</t>
    </rPh>
    <rPh sb="4" eb="6">
      <t>イチラン</t>
    </rPh>
    <rPh sb="11" eb="13">
      <t>シュツリョク</t>
    </rPh>
    <phoneticPr fontId="1"/>
  </si>
  <si>
    <t>例)研修運営進捗の○○が完了になったら</t>
    <rPh sb="0" eb="1">
      <t>レイ</t>
    </rPh>
    <rPh sb="2" eb="6">
      <t>ケンシュウウンエイ</t>
    </rPh>
    <rPh sb="6" eb="8">
      <t>シンチョク</t>
    </rPh>
    <rPh sb="12" eb="14">
      <t>カンリョウ</t>
    </rPh>
    <phoneticPr fontId="1"/>
  </si>
  <si>
    <t>社内進捗の○○が完了になる</t>
    <rPh sb="0" eb="4">
      <t>シャナイシンチョク</t>
    </rPh>
    <rPh sb="8" eb="10">
      <t>カンリョウ</t>
    </rPh>
    <phoneticPr fontId="1"/>
  </si>
  <si>
    <t>E2Eテスト</t>
    <phoneticPr fontId="1"/>
  </si>
  <si>
    <t>業務名</t>
    <rPh sb="0" eb="3">
      <t>ギョウムメイ</t>
    </rPh>
    <phoneticPr fontId="1"/>
  </si>
  <si>
    <t>機能名</t>
    <rPh sb="0" eb="3">
      <t>キノウメイ</t>
    </rPh>
    <phoneticPr fontId="1"/>
  </si>
  <si>
    <t>コースマスタ、年度別データ</t>
    <phoneticPr fontId="1"/>
  </si>
  <si>
    <t>サービスマスタ、年度別データ</t>
    <phoneticPr fontId="1"/>
  </si>
  <si>
    <t>ロケーションマスタ、年度別データ</t>
    <phoneticPr fontId="1"/>
  </si>
  <si>
    <t>登壇依頼書をファイル出力する</t>
    <rPh sb="0" eb="5">
      <t>トウダンイライショ</t>
    </rPh>
    <rPh sb="10" eb="12">
      <t>シュツリョク</t>
    </rPh>
    <phoneticPr fontId="1"/>
  </si>
  <si>
    <t>返却された登壇依頼書ファイルを取り込む</t>
    <rPh sb="0" eb="2">
      <t>ヘンキャク</t>
    </rPh>
    <rPh sb="5" eb="10">
      <t>トウダンイライショ</t>
    </rPh>
    <rPh sb="15" eb="16">
      <t>ト</t>
    </rPh>
    <rPh sb="17" eb="18">
      <t>コ</t>
    </rPh>
    <phoneticPr fontId="1"/>
  </si>
  <si>
    <t>フィルタリング機能</t>
    <rPh sb="7" eb="9">
      <t>キノウ</t>
    </rPh>
    <phoneticPr fontId="1"/>
  </si>
  <si>
    <t>検索機能</t>
    <rPh sb="0" eb="2">
      <t>ケンサク</t>
    </rPh>
    <rPh sb="2" eb="4">
      <t>キノウ</t>
    </rPh>
    <phoneticPr fontId="1"/>
  </si>
  <si>
    <t>ソート機能</t>
    <rPh sb="3" eb="5">
      <t>キノウ</t>
    </rPh>
    <phoneticPr fontId="1"/>
  </si>
  <si>
    <t>研修運営進捗管理をファイル出力する</t>
    <rPh sb="0" eb="2">
      <t>ケンシュウ</t>
    </rPh>
    <rPh sb="2" eb="4">
      <t>ウンエイ</t>
    </rPh>
    <rPh sb="4" eb="6">
      <t>シンチョク</t>
    </rPh>
    <rPh sb="6" eb="8">
      <t>カンリ</t>
    </rPh>
    <rPh sb="13" eb="15">
      <t>シュツリョク</t>
    </rPh>
    <phoneticPr fontId="1"/>
  </si>
  <si>
    <t>研修運営進捗管理ファイルを出力して、レビューや会議で変更した内容を再度システムに取り込む運用を想定</t>
    <rPh sb="0" eb="4">
      <t>ケンシュウウンエイ</t>
    </rPh>
    <rPh sb="4" eb="8">
      <t>シンチョクカンリ</t>
    </rPh>
    <rPh sb="13" eb="15">
      <t>シュツリョク</t>
    </rPh>
    <rPh sb="23" eb="25">
      <t>カイギ</t>
    </rPh>
    <rPh sb="26" eb="28">
      <t>ヘンコウ</t>
    </rPh>
    <rPh sb="30" eb="32">
      <t>ナイヨウ</t>
    </rPh>
    <rPh sb="33" eb="35">
      <t>サイド</t>
    </rPh>
    <rPh sb="40" eb="41">
      <t>ト</t>
    </rPh>
    <rPh sb="42" eb="43">
      <t>コ</t>
    </rPh>
    <rPh sb="44" eb="46">
      <t>ウンヨウ</t>
    </rPh>
    <rPh sb="47" eb="49">
      <t>ソウテイ</t>
    </rPh>
    <phoneticPr fontId="1"/>
  </si>
  <si>
    <t>研修管理情報をファイル出力する</t>
    <rPh sb="0" eb="6">
      <t>ケンシュウカンリジョウホウ</t>
    </rPh>
    <rPh sb="11" eb="13">
      <t>シュツリョク</t>
    </rPh>
    <phoneticPr fontId="1"/>
  </si>
  <si>
    <t>研修管理情報ファイルを取り込む</t>
    <rPh sb="0" eb="6">
      <t>ケンシュウカンリジョウホウ</t>
    </rPh>
    <rPh sb="11" eb="12">
      <t>ト</t>
    </rPh>
    <rPh sb="13" eb="14">
      <t>コ</t>
    </rPh>
    <phoneticPr fontId="1"/>
  </si>
  <si>
    <t>営業の方が使用しているExcelファイルをシステムに取り込む</t>
    <rPh sb="0" eb="2">
      <t>エイギョウ</t>
    </rPh>
    <rPh sb="3" eb="4">
      <t>カタ</t>
    </rPh>
    <rPh sb="5" eb="7">
      <t>シヨウ</t>
    </rPh>
    <rPh sb="26" eb="27">
      <t>ト</t>
    </rPh>
    <rPh sb="28" eb="29">
      <t>コ</t>
    </rPh>
    <phoneticPr fontId="1"/>
  </si>
  <si>
    <t>ベンダーに提供する</t>
    <rPh sb="5" eb="7">
      <t>テイキョウ</t>
    </rPh>
    <phoneticPr fontId="1"/>
  </si>
  <si>
    <t>研修運営進捗と研修社内進捗管理の同期を取る</t>
    <rPh sb="0" eb="4">
      <t>ケンシュウウンエイ</t>
    </rPh>
    <rPh sb="4" eb="6">
      <t>シンチョク</t>
    </rPh>
    <rPh sb="16" eb="18">
      <t>ドウキ</t>
    </rPh>
    <rPh sb="19" eb="20">
      <t>ト</t>
    </rPh>
    <phoneticPr fontId="1"/>
  </si>
  <si>
    <t>社内進捗一覧ファイルから社内進捗を取り込む</t>
    <rPh sb="0" eb="2">
      <t>シャナイ</t>
    </rPh>
    <rPh sb="2" eb="4">
      <t>シンチョク</t>
    </rPh>
    <rPh sb="4" eb="6">
      <t>イチラン</t>
    </rPh>
    <rPh sb="12" eb="14">
      <t>シャナイ</t>
    </rPh>
    <rPh sb="14" eb="16">
      <t>シンチョク</t>
    </rPh>
    <rPh sb="17" eb="18">
      <t>ト</t>
    </rPh>
    <rPh sb="19" eb="20">
      <t>コ</t>
    </rPh>
    <phoneticPr fontId="1"/>
  </si>
  <si>
    <t>社内進捗一覧ファイルを出力して、レビューや会議で変更した内容を再度システムに取り込む運用を想定</t>
    <rPh sb="0" eb="2">
      <t>シャナイ</t>
    </rPh>
    <rPh sb="2" eb="4">
      <t>シンチョク</t>
    </rPh>
    <rPh sb="4" eb="6">
      <t>イチラン</t>
    </rPh>
    <rPh sb="11" eb="13">
      <t>シュツリョク</t>
    </rPh>
    <rPh sb="21" eb="23">
      <t>カイギ</t>
    </rPh>
    <rPh sb="24" eb="26">
      <t>ヘンコウ</t>
    </rPh>
    <rPh sb="28" eb="30">
      <t>ナイヨウ</t>
    </rPh>
    <rPh sb="31" eb="33">
      <t>サイド</t>
    </rPh>
    <rPh sb="38" eb="39">
      <t>ト</t>
    </rPh>
    <rPh sb="40" eb="41">
      <t>コ</t>
    </rPh>
    <rPh sb="42" eb="44">
      <t>ウンヨウ</t>
    </rPh>
    <rPh sb="45" eb="47">
      <t>ソウテイ</t>
    </rPh>
    <phoneticPr fontId="1"/>
  </si>
  <si>
    <t>研修運営進捗管理ファイルから研修運営進捗情報を取り込む</t>
    <rPh sb="0" eb="2">
      <t>ケンシュウ</t>
    </rPh>
    <rPh sb="2" eb="4">
      <t>ウンエイ</t>
    </rPh>
    <rPh sb="4" eb="6">
      <t>シンチョク</t>
    </rPh>
    <rPh sb="6" eb="8">
      <t>カンリ</t>
    </rPh>
    <rPh sb="14" eb="16">
      <t>ケンシュウ</t>
    </rPh>
    <rPh sb="16" eb="18">
      <t>ウンエイ</t>
    </rPh>
    <rPh sb="18" eb="20">
      <t>シンチョク</t>
    </rPh>
    <rPh sb="20" eb="22">
      <t>ジョウホウ</t>
    </rPh>
    <rPh sb="23" eb="24">
      <t>ト</t>
    </rPh>
    <rPh sb="25" eb="26">
      <t>コ</t>
    </rPh>
    <phoneticPr fontId="1"/>
  </si>
  <si>
    <t>一覧が表示できる</t>
    <rPh sb="0" eb="2">
      <t>イチラン</t>
    </rPh>
    <rPh sb="3" eb="5">
      <t>ヒョウジ</t>
    </rPh>
    <phoneticPr fontId="1"/>
  </si>
  <si>
    <t>登録／更新ができる</t>
    <rPh sb="0" eb="2">
      <t>トウロク</t>
    </rPh>
    <rPh sb="3" eb="5">
      <t>コウシン</t>
    </rPh>
    <phoneticPr fontId="1"/>
  </si>
  <si>
    <t>データコピー機能</t>
    <rPh sb="6" eb="8">
      <t>キノウ</t>
    </rPh>
    <phoneticPr fontId="1"/>
  </si>
  <si>
    <t>選択年度のコピーを作成する</t>
    <rPh sb="0" eb="4">
      <t>センタクネンド</t>
    </rPh>
    <rPh sb="9" eb="11">
      <t>サクセイ</t>
    </rPh>
    <phoneticPr fontId="1"/>
  </si>
  <si>
    <t>要件定義×13(1マスタ：0.5)</t>
    <rPh sb="0" eb="4">
      <t>ヨウケンテイギ</t>
    </rPh>
    <phoneticPr fontId="1"/>
  </si>
  <si>
    <t>設計×13(1マスタ：1)</t>
    <rPh sb="0" eb="2">
      <t>セッケイ</t>
    </rPh>
    <phoneticPr fontId="1"/>
  </si>
  <si>
    <t>製造×13(1マスタ：2)</t>
    <rPh sb="0" eb="2">
      <t>セイゾウ</t>
    </rPh>
    <phoneticPr fontId="1"/>
  </si>
  <si>
    <t>単体テスト×13(1マスタ：0.5)</t>
    <rPh sb="0" eb="2">
      <t>タンタイ</t>
    </rPh>
    <phoneticPr fontId="1"/>
  </si>
  <si>
    <t>E2Eテスト×13(1マスタ：1)</t>
  </si>
  <si>
    <t>社員マスタ
全体進捗管理Excelより(PM/PL等)</t>
    <rPh sb="6" eb="12">
      <t>ゼンタイシンチョクカンリ</t>
    </rPh>
    <rPh sb="25" eb="26">
      <t>ナド</t>
    </rPh>
    <phoneticPr fontId="1"/>
  </si>
  <si>
    <t>受入テスト</t>
    <phoneticPr fontId="1"/>
  </si>
  <si>
    <t>テストを実施する</t>
    <rPh sb="4" eb="6">
      <t>ジッシ</t>
    </rPh>
    <phoneticPr fontId="1"/>
  </si>
  <si>
    <t>テストのサポートを実施する</t>
    <rPh sb="9" eb="11">
      <t>ジッシ</t>
    </rPh>
    <phoneticPr fontId="1"/>
  </si>
  <si>
    <t>アーキテクチャを設計する
技術スタックを選定する</t>
    <phoneticPr fontId="1"/>
  </si>
  <si>
    <t>その他</t>
    <rPh sb="2" eb="3">
      <t>タ</t>
    </rPh>
    <phoneticPr fontId="1"/>
  </si>
  <si>
    <t>本番環境構築手順書を作成する</t>
    <rPh sb="0" eb="6">
      <t>ホンバンカンキョウコウチク</t>
    </rPh>
    <rPh sb="6" eb="9">
      <t>テジュンショ</t>
    </rPh>
    <rPh sb="10" eb="12">
      <t>サクセイ</t>
    </rPh>
    <phoneticPr fontId="1"/>
  </si>
  <si>
    <t>本番環境を構築する</t>
    <rPh sb="0" eb="2">
      <t>ホンバン</t>
    </rPh>
    <rPh sb="2" eb="4">
      <t>カンキョウ</t>
    </rPh>
    <rPh sb="5" eb="7">
      <t>コウチク</t>
    </rPh>
    <phoneticPr fontId="1"/>
  </si>
  <si>
    <t>リリース手順書を作成する</t>
    <rPh sb="4" eb="7">
      <t>テジュンショ</t>
    </rPh>
    <rPh sb="8" eb="10">
      <t>サクセイ</t>
    </rPh>
    <phoneticPr fontId="1"/>
  </si>
  <si>
    <t>リリースする</t>
    <phoneticPr fontId="1"/>
  </si>
  <si>
    <t>マニュアルを作成する</t>
    <rPh sb="6" eb="8">
      <t>サクセイ</t>
    </rPh>
    <phoneticPr fontId="1"/>
  </si>
  <si>
    <t>1機能あたり1人日(22機能)</t>
    <rPh sb="1" eb="3">
      <t>キノウ</t>
    </rPh>
    <rPh sb="7" eb="9">
      <t>ニンニチ</t>
    </rPh>
    <rPh sb="12" eb="14">
      <t>キノウ</t>
    </rPh>
    <phoneticPr fontId="1"/>
  </si>
  <si>
    <t>1機能あたり0.5人日(22機能)</t>
    <rPh sb="1" eb="3">
      <t>キノウ</t>
    </rPh>
    <rPh sb="9" eb="11">
      <t>ニンニチ</t>
    </rPh>
    <rPh sb="14" eb="16">
      <t>キノウ</t>
    </rPh>
    <phoneticPr fontId="1"/>
  </si>
  <si>
    <t>お客様と契約したコースの情報を取り扱う</t>
    <rPh sb="1" eb="3">
      <t>キャクサマ</t>
    </rPh>
    <rPh sb="4" eb="6">
      <t>ケイヤク</t>
    </rPh>
    <rPh sb="12" eb="14">
      <t>ジョウホウ</t>
    </rPh>
    <rPh sb="15" eb="16">
      <t>ト</t>
    </rPh>
    <rPh sb="17" eb="18">
      <t>アツカ</t>
    </rPh>
    <phoneticPr fontId="1"/>
  </si>
  <si>
    <t>備考</t>
    <rPh sb="0" eb="2">
      <t>ビコウ</t>
    </rPh>
    <phoneticPr fontId="1"/>
  </si>
  <si>
    <t>研修運営の進捗管理を行う</t>
    <rPh sb="0" eb="4">
      <t>ケンシュウウンエイ</t>
    </rPh>
    <rPh sb="5" eb="9">
      <t>シンチョクカンリ</t>
    </rPh>
    <rPh sb="10" eb="11">
      <t>オコナ</t>
    </rPh>
    <phoneticPr fontId="1"/>
  </si>
  <si>
    <t>社内進捗管理を行う</t>
    <rPh sb="0" eb="6">
      <t>シャナイシンチョクカンリ</t>
    </rPh>
    <rPh sb="7" eb="8">
      <t>オコナ</t>
    </rPh>
    <phoneticPr fontId="1"/>
  </si>
  <si>
    <t>進捗同期</t>
    <rPh sb="0" eb="4">
      <t>シンチョクドウキ</t>
    </rPh>
    <phoneticPr fontId="1"/>
  </si>
  <si>
    <t>要望</t>
    <rPh sb="0" eb="2">
      <t>ヨウボウ</t>
    </rPh>
    <phoneticPr fontId="1"/>
  </si>
  <si>
    <t>実施</t>
    <rPh sb="0" eb="2">
      <t>ジッシ</t>
    </rPh>
    <phoneticPr fontId="1"/>
  </si>
  <si>
    <t>〇</t>
    <phoneticPr fontId="1"/>
  </si>
  <si>
    <t>要件定義、受け入れテスト、リリース以外</t>
    <rPh sb="0" eb="4">
      <t>ヨウケンテイギ</t>
    </rPh>
    <rPh sb="5" eb="6">
      <t>ウ</t>
    </rPh>
    <rPh sb="7" eb="8">
      <t>イ</t>
    </rPh>
    <rPh sb="17" eb="19">
      <t>イガイ</t>
    </rPh>
    <phoneticPr fontId="1"/>
  </si>
  <si>
    <t>要件定義を抜いたもの</t>
    <rPh sb="0" eb="2">
      <t>ヨウケン</t>
    </rPh>
    <rPh sb="2" eb="4">
      <t>テイギ</t>
    </rPh>
    <rPh sb="5" eb="6">
      <t>ヌ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</si>
</sst>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3" fillId="3" borderId="1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0" fillId="2" borderId="0" xfId="0" applyFill="1" applyAlignment="1">
      <alignment horizontal="right" vertical="top"/>
    </xf>
    <xf numFmtId="0" fontId="5" fillId="2" borderId="0" xfId="0" applyFont="1" applyFill="1" applyAlignment="1">
      <alignment horizontal="right" vertical="top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2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7838-242A-40F0-A060-13C96D409A9B}">
  <dimension ref="B1:I21"/>
  <sheetViews>
    <sheetView tabSelected="1" zoomScale="80" zoomScaleNormal="80" workbookViewId="0"/>
    <sheetView tabSelected="1" zoomScale="90" zoomScaleNormal="90" workbookViewId="1"/>
  </sheetViews>
  <sheetFormatPr defaultColWidth="8.69921875" defaultRowHeight="18" x14ac:dyDescent="0.45"/>
  <cols>
    <col min="1" max="1" width="8.69921875" style="1"/>
    <col min="2" max="2" width="25.69921875" style="1" customWidth="1"/>
    <col min="3" max="3" width="10.69921875" style="1" customWidth="1"/>
    <col min="4" max="4" width="10.296875" style="1" customWidth="1"/>
    <col min="5" max="5" width="44.19921875" style="1" bestFit="1" customWidth="1"/>
    <col min="6" max="6" width="43.59765625" style="1" customWidth="1"/>
    <col min="7" max="7" width="12.3984375" style="1" bestFit="1" customWidth="1"/>
    <col min="8" max="16384" width="8.69921875" style="1"/>
  </cols>
  <sheetData>
    <row r="1" spans="2:7" x14ac:dyDescent="0.45">
      <c r="B1" s="9" t="s">
        <v>3</v>
      </c>
      <c r="C1" s="9" t="s">
        <v>112</v>
      </c>
      <c r="D1" s="9" t="s">
        <v>113</v>
      </c>
      <c r="E1" s="9" t="s">
        <v>108</v>
      </c>
      <c r="F1" s="4" t="s">
        <v>10</v>
      </c>
      <c r="G1" s="4" t="s">
        <v>0</v>
      </c>
    </row>
    <row r="2" spans="2:7" x14ac:dyDescent="0.45">
      <c r="B2" s="10" t="s">
        <v>29</v>
      </c>
      <c r="C2" s="28" t="s">
        <v>114</v>
      </c>
      <c r="D2" s="28" t="s">
        <v>114</v>
      </c>
      <c r="E2" s="10" t="s">
        <v>107</v>
      </c>
      <c r="F2" s="15" t="s">
        <v>32</v>
      </c>
      <c r="G2" s="16">
        <v>15</v>
      </c>
    </row>
    <row r="3" spans="2:7" x14ac:dyDescent="0.45">
      <c r="B3" s="11"/>
      <c r="C3" s="29"/>
      <c r="D3" s="29"/>
      <c r="E3" s="11"/>
      <c r="F3" s="17" t="s">
        <v>115</v>
      </c>
      <c r="G3" s="18">
        <v>48</v>
      </c>
    </row>
    <row r="4" spans="2:7" x14ac:dyDescent="0.45">
      <c r="B4" s="10" t="s">
        <v>45</v>
      </c>
      <c r="C4" s="28" t="s">
        <v>114</v>
      </c>
      <c r="D4" s="28" t="s">
        <v>114</v>
      </c>
      <c r="E4" s="10" t="s">
        <v>109</v>
      </c>
      <c r="F4" s="15" t="s">
        <v>32</v>
      </c>
      <c r="G4" s="16">
        <v>11</v>
      </c>
    </row>
    <row r="5" spans="2:7" x14ac:dyDescent="0.45">
      <c r="B5" s="11"/>
      <c r="C5" s="29"/>
      <c r="D5" s="29"/>
      <c r="E5" s="11"/>
      <c r="F5" s="17" t="s">
        <v>115</v>
      </c>
      <c r="G5" s="18">
        <v>39</v>
      </c>
    </row>
    <row r="6" spans="2:7" x14ac:dyDescent="0.45">
      <c r="B6" s="10" t="s">
        <v>40</v>
      </c>
      <c r="C6" s="28" t="s">
        <v>114</v>
      </c>
      <c r="D6" s="28" t="s">
        <v>114</v>
      </c>
      <c r="E6" s="10" t="s">
        <v>110</v>
      </c>
      <c r="F6" s="15" t="s">
        <v>32</v>
      </c>
      <c r="G6" s="16">
        <v>10</v>
      </c>
    </row>
    <row r="7" spans="2:7" x14ac:dyDescent="0.45">
      <c r="B7" s="8"/>
      <c r="C7" s="29"/>
      <c r="D7" s="29"/>
      <c r="E7" s="11"/>
      <c r="F7" s="17" t="s">
        <v>115</v>
      </c>
      <c r="G7" s="18">
        <v>36</v>
      </c>
    </row>
    <row r="8" spans="2:7" x14ac:dyDescent="0.45">
      <c r="B8" s="11" t="s">
        <v>111</v>
      </c>
      <c r="C8" s="28" t="s">
        <v>114</v>
      </c>
      <c r="D8" s="28" t="s">
        <v>114</v>
      </c>
      <c r="E8" s="10" t="s">
        <v>81</v>
      </c>
      <c r="F8" s="15" t="s">
        <v>32</v>
      </c>
      <c r="G8" s="16">
        <v>2</v>
      </c>
    </row>
    <row r="9" spans="2:7" x14ac:dyDescent="0.45">
      <c r="B9" s="11"/>
      <c r="C9" s="29"/>
      <c r="D9" s="29"/>
      <c r="E9" s="11"/>
      <c r="F9" s="17" t="s">
        <v>115</v>
      </c>
      <c r="G9" s="18">
        <v>5</v>
      </c>
    </row>
    <row r="10" spans="2:7" x14ac:dyDescent="0.45">
      <c r="B10" s="10" t="s">
        <v>31</v>
      </c>
      <c r="C10" s="28" t="s">
        <v>114</v>
      </c>
      <c r="D10" s="28" t="s">
        <v>114</v>
      </c>
      <c r="E10" s="10"/>
      <c r="F10" s="15" t="s">
        <v>89</v>
      </c>
      <c r="G10" s="16">
        <v>9</v>
      </c>
    </row>
    <row r="11" spans="2:7" x14ac:dyDescent="0.45">
      <c r="B11" s="11"/>
      <c r="C11" s="29"/>
      <c r="D11" s="29"/>
      <c r="E11" s="11"/>
      <c r="F11" s="17" t="s">
        <v>115</v>
      </c>
      <c r="G11" s="18">
        <v>68.5</v>
      </c>
    </row>
    <row r="12" spans="2:7" x14ac:dyDescent="0.45">
      <c r="B12" s="10" t="s">
        <v>95</v>
      </c>
      <c r="C12" s="28" t="s">
        <v>114</v>
      </c>
      <c r="D12" s="28" t="s">
        <v>114</v>
      </c>
      <c r="E12" s="10" t="s">
        <v>96</v>
      </c>
      <c r="F12" s="7"/>
      <c r="G12" s="6">
        <f>1*22</f>
        <v>22</v>
      </c>
    </row>
    <row r="13" spans="2:7" x14ac:dyDescent="0.45">
      <c r="B13" s="8"/>
      <c r="C13" s="29"/>
      <c r="D13" s="29"/>
      <c r="E13" s="10" t="s">
        <v>97</v>
      </c>
      <c r="F13" s="7"/>
      <c r="G13" s="6">
        <v>10</v>
      </c>
    </row>
    <row r="14" spans="2:7" x14ac:dyDescent="0.45">
      <c r="B14" s="10" t="s">
        <v>14</v>
      </c>
      <c r="C14" s="28" t="s">
        <v>114</v>
      </c>
      <c r="D14" s="28" t="s">
        <v>114</v>
      </c>
      <c r="E14" s="10" t="s">
        <v>100</v>
      </c>
      <c r="F14" s="7"/>
      <c r="G14" s="6">
        <v>2</v>
      </c>
    </row>
    <row r="15" spans="2:7" x14ac:dyDescent="0.45">
      <c r="B15" s="11"/>
      <c r="C15" s="30"/>
      <c r="D15" s="30"/>
      <c r="E15" s="10" t="s">
        <v>101</v>
      </c>
      <c r="F15" s="7"/>
      <c r="G15" s="6">
        <v>1</v>
      </c>
    </row>
    <row r="16" spans="2:7" x14ac:dyDescent="0.45">
      <c r="B16" s="11"/>
      <c r="C16" s="30"/>
      <c r="D16" s="30"/>
      <c r="E16" s="10" t="s">
        <v>102</v>
      </c>
      <c r="F16" s="7"/>
      <c r="G16" s="6">
        <v>2</v>
      </c>
    </row>
    <row r="17" spans="2:9" x14ac:dyDescent="0.45">
      <c r="B17" s="11"/>
      <c r="C17" s="30"/>
      <c r="D17" s="30"/>
      <c r="E17" s="10" t="s">
        <v>103</v>
      </c>
      <c r="F17" s="7"/>
      <c r="G17" s="6">
        <v>1</v>
      </c>
    </row>
    <row r="18" spans="2:9" x14ac:dyDescent="0.45">
      <c r="B18" s="8"/>
      <c r="C18" s="29"/>
      <c r="D18" s="29"/>
      <c r="E18" s="10" t="s">
        <v>104</v>
      </c>
      <c r="F18" s="7"/>
      <c r="G18" s="6">
        <f>0.5*22</f>
        <v>11</v>
      </c>
    </row>
    <row r="19" spans="2:9" ht="36" x14ac:dyDescent="0.45">
      <c r="B19" s="7" t="s">
        <v>99</v>
      </c>
      <c r="C19" s="31" t="s">
        <v>114</v>
      </c>
      <c r="D19" s="31"/>
      <c r="E19" s="7" t="s">
        <v>98</v>
      </c>
      <c r="F19" s="7"/>
      <c r="G19" s="6">
        <v>5</v>
      </c>
    </row>
    <row r="20" spans="2:9" x14ac:dyDescent="0.45">
      <c r="B20" s="5"/>
      <c r="C20" s="5"/>
      <c r="D20" s="5"/>
      <c r="E20" s="5"/>
      <c r="F20" s="5"/>
      <c r="G20" s="5">
        <f>SUM(G1:G19)</f>
        <v>297.5</v>
      </c>
      <c r="H20" s="24">
        <f>SUMIF(F2:F19,"&lt;&gt;要件定義",G2:G19)</f>
        <v>259.5</v>
      </c>
      <c r="I20" s="1" t="s">
        <v>116</v>
      </c>
    </row>
    <row r="21" spans="2:9" x14ac:dyDescent="0.45">
      <c r="B21" s="5"/>
      <c r="C21" s="5"/>
      <c r="D21" s="5"/>
      <c r="E21" s="5"/>
      <c r="F21" s="5"/>
      <c r="G21" s="23">
        <f>ROUNDUP(G20*1.3,0)</f>
        <v>387</v>
      </c>
      <c r="H21" s="25">
        <f>ROUNDUP(H20*1.3,0)</f>
        <v>338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6FC6-565B-4C0E-A06A-5FCFF5A31381}">
  <dimension ref="B2:G120"/>
  <sheetViews>
    <sheetView zoomScale="80" zoomScaleNormal="80" workbookViewId="0"/>
    <sheetView workbookViewId="1">
      <selection activeCell="F107" sqref="F107"/>
    </sheetView>
  </sheetViews>
  <sheetFormatPr defaultColWidth="8.69921875" defaultRowHeight="18" x14ac:dyDescent="0.45"/>
  <cols>
    <col min="1" max="1" width="8.69921875" style="1"/>
    <col min="2" max="2" width="25.69921875" style="1" customWidth="1"/>
    <col min="3" max="3" width="44.19921875" style="1" bestFit="1" customWidth="1"/>
    <col min="4" max="4" width="37" style="1" customWidth="1"/>
    <col min="5" max="5" width="35.5" style="1" customWidth="1"/>
    <col min="6" max="6" width="12.3984375" style="1" bestFit="1" customWidth="1"/>
    <col min="7" max="7" width="24.8984375" style="1" customWidth="1"/>
    <col min="8" max="16384" width="8.69921875" style="1"/>
  </cols>
  <sheetData>
    <row r="2" spans="2:7" x14ac:dyDescent="0.45">
      <c r="B2" s="9" t="s">
        <v>65</v>
      </c>
      <c r="C2" s="9" t="s">
        <v>66</v>
      </c>
      <c r="D2" s="9" t="s">
        <v>108</v>
      </c>
      <c r="E2" s="4" t="s">
        <v>10</v>
      </c>
      <c r="F2" s="4" t="s">
        <v>0</v>
      </c>
      <c r="G2" s="5"/>
    </row>
    <row r="3" spans="2:7" x14ac:dyDescent="0.45">
      <c r="B3" s="10" t="s">
        <v>29</v>
      </c>
      <c r="C3" s="10" t="s">
        <v>41</v>
      </c>
      <c r="D3" s="10"/>
      <c r="E3" s="15" t="s">
        <v>32</v>
      </c>
      <c r="F3" s="16">
        <v>1</v>
      </c>
      <c r="G3" s="5"/>
    </row>
    <row r="4" spans="2:7" x14ac:dyDescent="0.45">
      <c r="B4" s="11"/>
      <c r="C4" s="11"/>
      <c r="D4" s="11"/>
      <c r="E4" s="17" t="s">
        <v>30</v>
      </c>
      <c r="F4" s="18">
        <v>1</v>
      </c>
      <c r="G4" s="5"/>
    </row>
    <row r="5" spans="2:7" x14ac:dyDescent="0.45">
      <c r="B5" s="11" t="s">
        <v>46</v>
      </c>
      <c r="C5" s="11"/>
      <c r="D5" s="11"/>
      <c r="E5" s="17" t="s">
        <v>13</v>
      </c>
      <c r="F5" s="18">
        <v>2</v>
      </c>
      <c r="G5" s="5"/>
    </row>
    <row r="6" spans="2:7" x14ac:dyDescent="0.45">
      <c r="B6" s="11" t="s">
        <v>47</v>
      </c>
      <c r="C6" s="11"/>
      <c r="D6" s="11"/>
      <c r="E6" s="21" t="s">
        <v>23</v>
      </c>
      <c r="F6" s="22">
        <v>1</v>
      </c>
      <c r="G6" s="5"/>
    </row>
    <row r="7" spans="2:7" x14ac:dyDescent="0.45">
      <c r="B7" s="11"/>
      <c r="C7" s="8"/>
      <c r="D7" s="8"/>
      <c r="E7" s="19" t="s">
        <v>64</v>
      </c>
      <c r="F7" s="20">
        <v>1</v>
      </c>
      <c r="G7" s="5"/>
    </row>
    <row r="8" spans="2:7" x14ac:dyDescent="0.45">
      <c r="B8" s="11"/>
      <c r="C8" s="11" t="s">
        <v>42</v>
      </c>
      <c r="D8" s="11" t="s">
        <v>72</v>
      </c>
      <c r="E8" s="15" t="s">
        <v>32</v>
      </c>
      <c r="F8" s="16">
        <v>2</v>
      </c>
      <c r="G8" s="5"/>
    </row>
    <row r="9" spans="2:7" x14ac:dyDescent="0.45">
      <c r="B9" s="11"/>
      <c r="C9" s="11"/>
      <c r="D9" s="11" t="s">
        <v>73</v>
      </c>
      <c r="E9" s="17" t="s">
        <v>30</v>
      </c>
      <c r="F9" s="18">
        <v>2</v>
      </c>
      <c r="G9" s="5"/>
    </row>
    <row r="10" spans="2:7" x14ac:dyDescent="0.45">
      <c r="B10" s="11"/>
      <c r="C10" s="11"/>
      <c r="D10" s="11" t="s">
        <v>74</v>
      </c>
      <c r="E10" s="17" t="s">
        <v>13</v>
      </c>
      <c r="F10" s="18">
        <v>4</v>
      </c>
      <c r="G10" s="5"/>
    </row>
    <row r="11" spans="2:7" x14ac:dyDescent="0.45">
      <c r="B11" s="11"/>
      <c r="C11" s="11"/>
      <c r="D11" s="11"/>
      <c r="E11" s="21" t="s">
        <v>23</v>
      </c>
      <c r="F11" s="22">
        <v>2</v>
      </c>
      <c r="G11" s="5"/>
    </row>
    <row r="12" spans="2:7" x14ac:dyDescent="0.45">
      <c r="B12" s="11"/>
      <c r="C12" s="8"/>
      <c r="D12" s="8"/>
      <c r="E12" s="19" t="s">
        <v>64</v>
      </c>
      <c r="F12" s="20">
        <v>2</v>
      </c>
      <c r="G12" s="5"/>
    </row>
    <row r="13" spans="2:7" x14ac:dyDescent="0.45">
      <c r="B13" s="11"/>
      <c r="C13" s="11" t="s">
        <v>77</v>
      </c>
      <c r="D13" s="11" t="s">
        <v>72</v>
      </c>
      <c r="E13" s="15" t="s">
        <v>32</v>
      </c>
      <c r="F13" s="16">
        <v>2</v>
      </c>
      <c r="G13" s="5"/>
    </row>
    <row r="14" spans="2:7" x14ac:dyDescent="0.45">
      <c r="B14" s="11"/>
      <c r="C14" s="11"/>
      <c r="D14" s="11" t="s">
        <v>73</v>
      </c>
      <c r="E14" s="17" t="s">
        <v>30</v>
      </c>
      <c r="F14" s="18">
        <v>3</v>
      </c>
      <c r="G14" s="5"/>
    </row>
    <row r="15" spans="2:7" x14ac:dyDescent="0.45">
      <c r="B15" s="11"/>
      <c r="C15" s="11"/>
      <c r="D15" s="11" t="s">
        <v>74</v>
      </c>
      <c r="E15" s="17" t="s">
        <v>13</v>
      </c>
      <c r="F15" s="18">
        <v>3</v>
      </c>
      <c r="G15" s="5"/>
    </row>
    <row r="16" spans="2:7" x14ac:dyDescent="0.45">
      <c r="B16" s="11"/>
      <c r="C16" s="11"/>
      <c r="D16" s="11"/>
      <c r="E16" s="21" t="s">
        <v>23</v>
      </c>
      <c r="F16" s="22">
        <v>1</v>
      </c>
      <c r="G16" s="5"/>
    </row>
    <row r="17" spans="2:7" x14ac:dyDescent="0.45">
      <c r="B17" s="11"/>
      <c r="C17" s="8"/>
      <c r="D17" s="8"/>
      <c r="E17" s="19" t="s">
        <v>64</v>
      </c>
      <c r="F17" s="20">
        <v>1</v>
      </c>
      <c r="G17" s="5"/>
    </row>
    <row r="18" spans="2:7" ht="36" x14ac:dyDescent="0.45">
      <c r="B18" s="11"/>
      <c r="C18" s="11" t="s">
        <v>78</v>
      </c>
      <c r="D18" s="12" t="s">
        <v>79</v>
      </c>
      <c r="E18" s="15" t="s">
        <v>32</v>
      </c>
      <c r="F18" s="16">
        <v>4</v>
      </c>
      <c r="G18" s="5"/>
    </row>
    <row r="19" spans="2:7" x14ac:dyDescent="0.45">
      <c r="B19" s="11"/>
      <c r="C19" s="11"/>
      <c r="D19" s="11"/>
      <c r="E19" s="17" t="s">
        <v>30</v>
      </c>
      <c r="F19" s="18">
        <v>3</v>
      </c>
      <c r="G19" s="5"/>
    </row>
    <row r="20" spans="2:7" x14ac:dyDescent="0.45">
      <c r="B20" s="11"/>
      <c r="C20" s="11"/>
      <c r="D20" s="11"/>
      <c r="E20" s="17" t="s">
        <v>13</v>
      </c>
      <c r="F20" s="18">
        <v>3</v>
      </c>
      <c r="G20" s="5"/>
    </row>
    <row r="21" spans="2:7" x14ac:dyDescent="0.45">
      <c r="B21" s="11"/>
      <c r="C21" s="11"/>
      <c r="D21" s="11"/>
      <c r="E21" s="21" t="s">
        <v>23</v>
      </c>
      <c r="F21" s="22">
        <v>2</v>
      </c>
      <c r="G21" s="5"/>
    </row>
    <row r="22" spans="2:7" x14ac:dyDescent="0.45">
      <c r="B22" s="11"/>
      <c r="C22" s="8"/>
      <c r="D22" s="8"/>
      <c r="E22" s="19" t="s">
        <v>64</v>
      </c>
      <c r="F22" s="20">
        <v>1</v>
      </c>
      <c r="G22" s="5"/>
    </row>
    <row r="23" spans="2:7" x14ac:dyDescent="0.45">
      <c r="B23" s="11"/>
      <c r="C23" s="11" t="s">
        <v>70</v>
      </c>
      <c r="D23" s="11" t="s">
        <v>80</v>
      </c>
      <c r="E23" s="15" t="s">
        <v>32</v>
      </c>
      <c r="F23" s="16">
        <v>3</v>
      </c>
      <c r="G23" s="5"/>
    </row>
    <row r="24" spans="2:7" x14ac:dyDescent="0.45">
      <c r="B24" s="11"/>
      <c r="C24" s="11"/>
      <c r="D24" s="11"/>
      <c r="E24" s="17" t="s">
        <v>30</v>
      </c>
      <c r="F24" s="18">
        <v>3</v>
      </c>
      <c r="G24" s="5"/>
    </row>
    <row r="25" spans="2:7" x14ac:dyDescent="0.45">
      <c r="B25" s="11"/>
      <c r="C25" s="11"/>
      <c r="D25" s="11"/>
      <c r="E25" s="17" t="s">
        <v>13</v>
      </c>
      <c r="F25" s="18">
        <v>3</v>
      </c>
      <c r="G25" s="5"/>
    </row>
    <row r="26" spans="2:7" x14ac:dyDescent="0.45">
      <c r="B26" s="11"/>
      <c r="C26" s="11"/>
      <c r="D26" s="11"/>
      <c r="E26" s="21" t="s">
        <v>23</v>
      </c>
      <c r="F26" s="22">
        <v>1</v>
      </c>
      <c r="G26" s="5"/>
    </row>
    <row r="27" spans="2:7" x14ac:dyDescent="0.45">
      <c r="B27" s="11"/>
      <c r="C27" s="13"/>
      <c r="D27" s="13"/>
      <c r="E27" s="19" t="s">
        <v>64</v>
      </c>
      <c r="F27" s="20">
        <v>1</v>
      </c>
      <c r="G27" s="5"/>
    </row>
    <row r="28" spans="2:7" x14ac:dyDescent="0.45">
      <c r="B28" s="11"/>
      <c r="C28" s="11" t="s">
        <v>71</v>
      </c>
      <c r="D28" s="11"/>
      <c r="E28" s="15" t="s">
        <v>32</v>
      </c>
      <c r="F28" s="16">
        <v>3</v>
      </c>
      <c r="G28" s="5"/>
    </row>
    <row r="29" spans="2:7" x14ac:dyDescent="0.45">
      <c r="B29" s="11"/>
      <c r="C29" s="11"/>
      <c r="D29" s="11"/>
      <c r="E29" s="17" t="s">
        <v>30</v>
      </c>
      <c r="F29" s="18">
        <v>3</v>
      </c>
      <c r="G29" s="5"/>
    </row>
    <row r="30" spans="2:7" x14ac:dyDescent="0.45">
      <c r="B30" s="11"/>
      <c r="C30" s="11"/>
      <c r="D30" s="11"/>
      <c r="E30" s="17" t="s">
        <v>13</v>
      </c>
      <c r="F30" s="18">
        <v>3</v>
      </c>
      <c r="G30" s="5"/>
    </row>
    <row r="31" spans="2:7" x14ac:dyDescent="0.45">
      <c r="B31" s="11"/>
      <c r="C31" s="11"/>
      <c r="D31" s="11"/>
      <c r="E31" s="21" t="s">
        <v>23</v>
      </c>
      <c r="F31" s="22">
        <v>1</v>
      </c>
      <c r="G31" s="5"/>
    </row>
    <row r="32" spans="2:7" x14ac:dyDescent="0.45">
      <c r="B32" s="11"/>
      <c r="C32" s="13"/>
      <c r="D32" s="13"/>
      <c r="E32" s="19" t="s">
        <v>64</v>
      </c>
      <c r="F32" s="20">
        <v>1</v>
      </c>
      <c r="G32" s="5"/>
    </row>
    <row r="33" spans="2:7" x14ac:dyDescent="0.45">
      <c r="B33" s="10" t="s">
        <v>45</v>
      </c>
      <c r="C33" s="10" t="s">
        <v>50</v>
      </c>
      <c r="D33" s="11" t="s">
        <v>72</v>
      </c>
      <c r="E33" s="15" t="s">
        <v>32</v>
      </c>
      <c r="F33" s="16">
        <v>4</v>
      </c>
      <c r="G33" s="5"/>
    </row>
    <row r="34" spans="2:7" x14ac:dyDescent="0.45">
      <c r="B34" s="11"/>
      <c r="C34" s="11"/>
      <c r="D34" s="11" t="s">
        <v>73</v>
      </c>
      <c r="E34" s="17" t="s">
        <v>30</v>
      </c>
      <c r="F34" s="18">
        <v>3</v>
      </c>
      <c r="G34" s="5"/>
    </row>
    <row r="35" spans="2:7" x14ac:dyDescent="0.45">
      <c r="B35" s="11" t="s">
        <v>48</v>
      </c>
      <c r="C35" s="11"/>
      <c r="D35" s="11" t="s">
        <v>74</v>
      </c>
      <c r="E35" s="17" t="s">
        <v>13</v>
      </c>
      <c r="F35" s="18">
        <v>4</v>
      </c>
      <c r="G35" s="5"/>
    </row>
    <row r="36" spans="2:7" x14ac:dyDescent="0.45">
      <c r="B36" s="11" t="s">
        <v>51</v>
      </c>
      <c r="C36" s="11"/>
      <c r="D36" s="11"/>
      <c r="E36" s="21" t="s">
        <v>23</v>
      </c>
      <c r="F36" s="22">
        <v>2</v>
      </c>
      <c r="G36" s="5"/>
    </row>
    <row r="37" spans="2:7" x14ac:dyDescent="0.45">
      <c r="B37" s="11" t="s">
        <v>49</v>
      </c>
      <c r="C37" s="8"/>
      <c r="D37" s="8"/>
      <c r="E37" s="19" t="s">
        <v>64</v>
      </c>
      <c r="F37" s="20">
        <v>3</v>
      </c>
      <c r="G37" s="5"/>
    </row>
    <row r="38" spans="2:7" x14ac:dyDescent="0.45">
      <c r="B38" s="11"/>
      <c r="C38" s="11" t="s">
        <v>53</v>
      </c>
      <c r="D38" s="11"/>
      <c r="E38" s="15" t="s">
        <v>32</v>
      </c>
      <c r="F38" s="16">
        <v>1</v>
      </c>
      <c r="G38" s="5"/>
    </row>
    <row r="39" spans="2:7" x14ac:dyDescent="0.45">
      <c r="B39" s="11"/>
      <c r="C39" s="11"/>
      <c r="D39" s="11"/>
      <c r="E39" s="17" t="s">
        <v>30</v>
      </c>
      <c r="F39" s="18">
        <v>1</v>
      </c>
      <c r="G39" s="5"/>
    </row>
    <row r="40" spans="2:7" x14ac:dyDescent="0.45">
      <c r="B40" s="11"/>
      <c r="C40" s="11"/>
      <c r="D40" s="11"/>
      <c r="E40" s="17" t="s">
        <v>13</v>
      </c>
      <c r="F40" s="18">
        <v>2</v>
      </c>
      <c r="G40" s="5"/>
    </row>
    <row r="41" spans="2:7" x14ac:dyDescent="0.45">
      <c r="B41" s="11"/>
      <c r="C41" s="11"/>
      <c r="D41" s="11"/>
      <c r="E41" s="21" t="s">
        <v>23</v>
      </c>
      <c r="F41" s="22">
        <v>0.5</v>
      </c>
      <c r="G41" s="5"/>
    </row>
    <row r="42" spans="2:7" x14ac:dyDescent="0.45">
      <c r="B42" s="11"/>
      <c r="C42" s="8"/>
      <c r="D42" s="8"/>
      <c r="E42" s="19" t="s">
        <v>64</v>
      </c>
      <c r="F42" s="20">
        <v>1</v>
      </c>
      <c r="G42" s="5"/>
    </row>
    <row r="43" spans="2:7" x14ac:dyDescent="0.45">
      <c r="B43" s="11"/>
      <c r="C43" s="11" t="s">
        <v>52</v>
      </c>
      <c r="D43" s="11"/>
      <c r="E43" s="15" t="s">
        <v>32</v>
      </c>
      <c r="F43" s="16">
        <v>1</v>
      </c>
      <c r="G43" s="5"/>
    </row>
    <row r="44" spans="2:7" x14ac:dyDescent="0.45">
      <c r="B44" s="11"/>
      <c r="C44" s="11"/>
      <c r="D44" s="11"/>
      <c r="E44" s="17" t="s">
        <v>30</v>
      </c>
      <c r="F44" s="18">
        <v>2</v>
      </c>
      <c r="G44" s="5"/>
    </row>
    <row r="45" spans="2:7" x14ac:dyDescent="0.45">
      <c r="B45" s="11"/>
      <c r="C45" s="11"/>
      <c r="D45" s="11"/>
      <c r="E45" s="17" t="s">
        <v>13</v>
      </c>
      <c r="F45" s="18">
        <v>2</v>
      </c>
      <c r="G45" s="5"/>
    </row>
    <row r="46" spans="2:7" x14ac:dyDescent="0.45">
      <c r="B46" s="11"/>
      <c r="C46" s="11"/>
      <c r="D46" s="11"/>
      <c r="E46" s="21" t="s">
        <v>23</v>
      </c>
      <c r="F46" s="22">
        <v>1</v>
      </c>
      <c r="G46" s="5"/>
    </row>
    <row r="47" spans="2:7" x14ac:dyDescent="0.45">
      <c r="B47" s="11"/>
      <c r="C47" s="8"/>
      <c r="D47" s="8"/>
      <c r="E47" s="19" t="s">
        <v>64</v>
      </c>
      <c r="F47" s="20">
        <v>2</v>
      </c>
      <c r="G47" s="5"/>
    </row>
    <row r="48" spans="2:7" x14ac:dyDescent="0.45">
      <c r="B48" s="11"/>
      <c r="C48" s="11" t="s">
        <v>75</v>
      </c>
      <c r="D48" s="11" t="s">
        <v>72</v>
      </c>
      <c r="E48" s="15" t="s">
        <v>32</v>
      </c>
      <c r="F48" s="16">
        <v>2</v>
      </c>
      <c r="G48" s="5"/>
    </row>
    <row r="49" spans="2:7" x14ac:dyDescent="0.45">
      <c r="B49" s="11"/>
      <c r="C49" s="11"/>
      <c r="D49" s="11" t="s">
        <v>73</v>
      </c>
      <c r="E49" s="17" t="s">
        <v>30</v>
      </c>
      <c r="F49" s="18">
        <v>3</v>
      </c>
      <c r="G49" s="5"/>
    </row>
    <row r="50" spans="2:7" x14ac:dyDescent="0.45">
      <c r="B50" s="11"/>
      <c r="C50" s="11"/>
      <c r="D50" s="11" t="s">
        <v>74</v>
      </c>
      <c r="E50" s="17" t="s">
        <v>13</v>
      </c>
      <c r="F50" s="18">
        <v>3</v>
      </c>
      <c r="G50" s="5"/>
    </row>
    <row r="51" spans="2:7" x14ac:dyDescent="0.45">
      <c r="B51" s="11"/>
      <c r="C51" s="11"/>
      <c r="D51" s="11"/>
      <c r="E51" s="21" t="s">
        <v>23</v>
      </c>
      <c r="F51" s="22">
        <v>1</v>
      </c>
      <c r="G51" s="5"/>
    </row>
    <row r="52" spans="2:7" x14ac:dyDescent="0.45">
      <c r="B52" s="11"/>
      <c r="C52" s="13"/>
      <c r="D52" s="13"/>
      <c r="E52" s="19" t="s">
        <v>64</v>
      </c>
      <c r="F52" s="20">
        <v>1</v>
      </c>
      <c r="G52" s="5"/>
    </row>
    <row r="53" spans="2:7" ht="54" x14ac:dyDescent="0.45">
      <c r="B53" s="11"/>
      <c r="C53" s="12" t="s">
        <v>84</v>
      </c>
      <c r="D53" s="12" t="s">
        <v>76</v>
      </c>
      <c r="E53" s="15" t="s">
        <v>32</v>
      </c>
      <c r="F53" s="16">
        <v>3</v>
      </c>
      <c r="G53" s="5"/>
    </row>
    <row r="54" spans="2:7" x14ac:dyDescent="0.45">
      <c r="B54" s="11"/>
      <c r="C54" s="11"/>
      <c r="D54" s="11"/>
      <c r="E54" s="17" t="s">
        <v>30</v>
      </c>
      <c r="F54" s="18">
        <v>2</v>
      </c>
      <c r="G54" s="5"/>
    </row>
    <row r="55" spans="2:7" x14ac:dyDescent="0.45">
      <c r="B55" s="11"/>
      <c r="C55" s="11"/>
      <c r="D55" s="11"/>
      <c r="E55" s="17" t="s">
        <v>13</v>
      </c>
      <c r="F55" s="18">
        <v>2</v>
      </c>
      <c r="G55" s="5"/>
    </row>
    <row r="56" spans="2:7" x14ac:dyDescent="0.45">
      <c r="B56" s="11"/>
      <c r="C56" s="11"/>
      <c r="D56" s="11"/>
      <c r="E56" s="21" t="s">
        <v>23</v>
      </c>
      <c r="F56" s="22">
        <v>1.5</v>
      </c>
      <c r="G56" s="5"/>
    </row>
    <row r="57" spans="2:7" x14ac:dyDescent="0.45">
      <c r="B57" s="8"/>
      <c r="C57" s="13"/>
      <c r="D57" s="13"/>
      <c r="E57" s="19" t="s">
        <v>64</v>
      </c>
      <c r="F57" s="20">
        <v>2</v>
      </c>
      <c r="G57" s="5"/>
    </row>
    <row r="58" spans="2:7" x14ac:dyDescent="0.45">
      <c r="B58" s="10" t="s">
        <v>40</v>
      </c>
      <c r="C58" s="10" t="s">
        <v>59</v>
      </c>
      <c r="D58" s="11" t="s">
        <v>72</v>
      </c>
      <c r="E58" s="15" t="s">
        <v>32</v>
      </c>
      <c r="F58" s="16">
        <v>4</v>
      </c>
      <c r="G58" s="5"/>
    </row>
    <row r="59" spans="2:7" x14ac:dyDescent="0.45">
      <c r="B59" s="11"/>
      <c r="C59" s="11"/>
      <c r="D59" s="11" t="s">
        <v>73</v>
      </c>
      <c r="E59" s="17" t="s">
        <v>30</v>
      </c>
      <c r="F59" s="18">
        <v>3</v>
      </c>
      <c r="G59" s="5"/>
    </row>
    <row r="60" spans="2:7" x14ac:dyDescent="0.45">
      <c r="B60" s="11" t="s">
        <v>55</v>
      </c>
      <c r="C60" s="11"/>
      <c r="D60" s="11" t="s">
        <v>74</v>
      </c>
      <c r="E60" s="17" t="s">
        <v>13</v>
      </c>
      <c r="F60" s="18">
        <v>4</v>
      </c>
      <c r="G60" s="5"/>
    </row>
    <row r="61" spans="2:7" x14ac:dyDescent="0.45">
      <c r="B61" s="11" t="s">
        <v>56</v>
      </c>
      <c r="C61" s="11"/>
      <c r="D61" s="11"/>
      <c r="E61" s="21" t="s">
        <v>23</v>
      </c>
      <c r="F61" s="22">
        <v>2</v>
      </c>
      <c r="G61" s="5"/>
    </row>
    <row r="62" spans="2:7" x14ac:dyDescent="0.45">
      <c r="B62" s="11" t="s">
        <v>57</v>
      </c>
      <c r="C62" s="8"/>
      <c r="D62" s="8"/>
      <c r="E62" s="19" t="s">
        <v>64</v>
      </c>
      <c r="F62" s="20">
        <v>3</v>
      </c>
      <c r="G62" s="5"/>
    </row>
    <row r="63" spans="2:7" x14ac:dyDescent="0.45">
      <c r="B63" s="11"/>
      <c r="C63" s="11" t="s">
        <v>58</v>
      </c>
      <c r="D63" s="11"/>
      <c r="E63" s="15" t="s">
        <v>32</v>
      </c>
      <c r="F63" s="16">
        <v>1</v>
      </c>
      <c r="G63" s="5"/>
    </row>
    <row r="64" spans="2:7" x14ac:dyDescent="0.45">
      <c r="B64" s="11"/>
      <c r="C64" s="11"/>
      <c r="D64" s="11"/>
      <c r="E64" s="17" t="s">
        <v>30</v>
      </c>
      <c r="F64" s="18">
        <v>1</v>
      </c>
      <c r="G64" s="5"/>
    </row>
    <row r="65" spans="2:7" x14ac:dyDescent="0.45">
      <c r="B65" s="11"/>
      <c r="C65" s="11"/>
      <c r="D65" s="11"/>
      <c r="E65" s="17" t="s">
        <v>13</v>
      </c>
      <c r="F65" s="18">
        <v>2</v>
      </c>
      <c r="G65" s="5"/>
    </row>
    <row r="66" spans="2:7" x14ac:dyDescent="0.45">
      <c r="B66" s="11"/>
      <c r="C66" s="11"/>
      <c r="D66" s="11"/>
      <c r="E66" s="21" t="s">
        <v>23</v>
      </c>
      <c r="F66" s="22">
        <v>0.5</v>
      </c>
      <c r="G66" s="5"/>
    </row>
    <row r="67" spans="2:7" x14ac:dyDescent="0.45">
      <c r="B67" s="11"/>
      <c r="C67" s="8"/>
      <c r="D67" s="8"/>
      <c r="E67" s="19" t="s">
        <v>64</v>
      </c>
      <c r="F67" s="20">
        <v>1</v>
      </c>
      <c r="G67" s="5"/>
    </row>
    <row r="68" spans="2:7" x14ac:dyDescent="0.45">
      <c r="B68" s="11"/>
      <c r="C68" s="10" t="s">
        <v>60</v>
      </c>
      <c r="D68" s="11"/>
      <c r="E68" s="15" t="s">
        <v>32</v>
      </c>
      <c r="F68" s="16">
        <v>1</v>
      </c>
      <c r="G68" s="5"/>
    </row>
    <row r="69" spans="2:7" x14ac:dyDescent="0.45">
      <c r="B69" s="11"/>
      <c r="C69" s="11"/>
      <c r="D69" s="11"/>
      <c r="E69" s="17" t="s">
        <v>30</v>
      </c>
      <c r="F69" s="18">
        <v>2</v>
      </c>
      <c r="G69" s="5"/>
    </row>
    <row r="70" spans="2:7" x14ac:dyDescent="0.45">
      <c r="B70" s="14"/>
      <c r="C70" s="11"/>
      <c r="D70" s="11"/>
      <c r="E70" s="17" t="s">
        <v>13</v>
      </c>
      <c r="F70" s="18">
        <v>2</v>
      </c>
      <c r="G70" s="5"/>
    </row>
    <row r="71" spans="2:7" x14ac:dyDescent="0.45">
      <c r="B71" s="14"/>
      <c r="C71" s="11"/>
      <c r="D71" s="11"/>
      <c r="E71" s="21" t="s">
        <v>23</v>
      </c>
      <c r="F71" s="22">
        <v>1</v>
      </c>
      <c r="G71" s="5"/>
    </row>
    <row r="72" spans="2:7" x14ac:dyDescent="0.45">
      <c r="B72" s="11"/>
      <c r="C72" s="13"/>
      <c r="D72" s="13"/>
      <c r="E72" s="19" t="s">
        <v>64</v>
      </c>
      <c r="F72" s="20">
        <v>2</v>
      </c>
      <c r="G72" s="5"/>
    </row>
    <row r="73" spans="2:7" x14ac:dyDescent="0.45">
      <c r="B73" s="11"/>
      <c r="C73" s="10" t="s">
        <v>61</v>
      </c>
      <c r="D73" s="11"/>
      <c r="E73" s="15" t="s">
        <v>32</v>
      </c>
      <c r="F73" s="16">
        <v>1</v>
      </c>
      <c r="G73" s="5"/>
    </row>
    <row r="74" spans="2:7" x14ac:dyDescent="0.45">
      <c r="B74" s="11"/>
      <c r="C74" s="11"/>
      <c r="D74" s="11"/>
      <c r="E74" s="17" t="s">
        <v>30</v>
      </c>
      <c r="F74" s="18">
        <v>1</v>
      </c>
      <c r="G74" s="5"/>
    </row>
    <row r="75" spans="2:7" x14ac:dyDescent="0.45">
      <c r="B75" s="14"/>
      <c r="C75" s="11"/>
      <c r="D75" s="11"/>
      <c r="E75" s="17" t="s">
        <v>13</v>
      </c>
      <c r="F75" s="18">
        <v>2</v>
      </c>
      <c r="G75" s="5"/>
    </row>
    <row r="76" spans="2:7" x14ac:dyDescent="0.45">
      <c r="B76" s="14"/>
      <c r="C76" s="11"/>
      <c r="D76" s="11"/>
      <c r="E76" s="21" t="s">
        <v>23</v>
      </c>
      <c r="F76" s="22">
        <v>1</v>
      </c>
      <c r="G76" s="5"/>
    </row>
    <row r="77" spans="2:7" x14ac:dyDescent="0.45">
      <c r="B77" s="11"/>
      <c r="C77" s="13"/>
      <c r="D77" s="13"/>
      <c r="E77" s="19" t="s">
        <v>64</v>
      </c>
      <c r="F77" s="20">
        <v>1</v>
      </c>
      <c r="G77" s="5"/>
    </row>
    <row r="78" spans="2:7" ht="54" x14ac:dyDescent="0.45">
      <c r="B78" s="11"/>
      <c r="C78" s="12" t="s">
        <v>82</v>
      </c>
      <c r="D78" s="12" t="s">
        <v>83</v>
      </c>
      <c r="E78" s="15" t="s">
        <v>32</v>
      </c>
      <c r="F78" s="16">
        <v>3</v>
      </c>
      <c r="G78" s="5"/>
    </row>
    <row r="79" spans="2:7" x14ac:dyDescent="0.45">
      <c r="B79" s="11"/>
      <c r="C79" s="11"/>
      <c r="D79" s="11"/>
      <c r="E79" s="17" t="s">
        <v>30</v>
      </c>
      <c r="F79" s="18">
        <v>2</v>
      </c>
      <c r="G79" s="5"/>
    </row>
    <row r="80" spans="2:7" x14ac:dyDescent="0.45">
      <c r="B80" s="11"/>
      <c r="C80" s="11"/>
      <c r="D80" s="11"/>
      <c r="E80" s="17" t="s">
        <v>13</v>
      </c>
      <c r="F80" s="18">
        <v>2</v>
      </c>
      <c r="G80" s="5"/>
    </row>
    <row r="81" spans="2:7" x14ac:dyDescent="0.45">
      <c r="B81" s="11"/>
      <c r="C81" s="11"/>
      <c r="D81" s="11"/>
      <c r="E81" s="21" t="s">
        <v>23</v>
      </c>
      <c r="F81" s="22">
        <v>1.5</v>
      </c>
      <c r="G81" s="5"/>
    </row>
    <row r="82" spans="2:7" x14ac:dyDescent="0.45">
      <c r="B82" s="8"/>
      <c r="C82" s="13"/>
      <c r="D82" s="13"/>
      <c r="E82" s="19" t="s">
        <v>64</v>
      </c>
      <c r="F82" s="20">
        <v>2</v>
      </c>
      <c r="G82" s="5"/>
    </row>
    <row r="83" spans="2:7" x14ac:dyDescent="0.45">
      <c r="B83" s="11" t="s">
        <v>111</v>
      </c>
      <c r="C83" s="10" t="s">
        <v>81</v>
      </c>
      <c r="D83" s="11"/>
      <c r="E83" s="15" t="s">
        <v>32</v>
      </c>
      <c r="F83" s="16">
        <v>2</v>
      </c>
      <c r="G83" s="5"/>
    </row>
    <row r="84" spans="2:7" x14ac:dyDescent="0.45">
      <c r="B84" s="11"/>
      <c r="C84" s="11" t="s">
        <v>62</v>
      </c>
      <c r="D84" s="11"/>
      <c r="E84" s="17" t="s">
        <v>30</v>
      </c>
      <c r="F84" s="18">
        <v>1</v>
      </c>
      <c r="G84" s="5"/>
    </row>
    <row r="85" spans="2:7" x14ac:dyDescent="0.45">
      <c r="B85" s="14"/>
      <c r="C85" s="11" t="s">
        <v>63</v>
      </c>
      <c r="D85" s="11"/>
      <c r="E85" s="17" t="s">
        <v>13</v>
      </c>
      <c r="F85" s="18">
        <v>2</v>
      </c>
      <c r="G85" s="5"/>
    </row>
    <row r="86" spans="2:7" x14ac:dyDescent="0.45">
      <c r="B86" s="14"/>
      <c r="C86" s="11"/>
      <c r="D86" s="11"/>
      <c r="E86" s="21" t="s">
        <v>23</v>
      </c>
      <c r="F86" s="22">
        <v>1</v>
      </c>
      <c r="G86" s="5"/>
    </row>
    <row r="87" spans="2:7" x14ac:dyDescent="0.45">
      <c r="B87" s="11"/>
      <c r="C87" s="13"/>
      <c r="D87" s="13"/>
      <c r="E87" s="19" t="s">
        <v>64</v>
      </c>
      <c r="F87" s="20">
        <v>1</v>
      </c>
      <c r="G87" s="5"/>
    </row>
    <row r="88" spans="2:7" x14ac:dyDescent="0.45">
      <c r="B88" s="10" t="s">
        <v>31</v>
      </c>
      <c r="C88" s="10" t="s">
        <v>85</v>
      </c>
      <c r="D88" s="10" t="s">
        <v>33</v>
      </c>
      <c r="E88" s="15" t="s">
        <v>89</v>
      </c>
      <c r="F88" s="16">
        <f>0.5*13</f>
        <v>6.5</v>
      </c>
      <c r="G88" s="5"/>
    </row>
    <row r="89" spans="2:7" x14ac:dyDescent="0.45">
      <c r="B89" s="11"/>
      <c r="C89" s="11" t="s">
        <v>86</v>
      </c>
      <c r="D89" s="11" t="s">
        <v>34</v>
      </c>
      <c r="E89" s="17" t="s">
        <v>90</v>
      </c>
      <c r="F89" s="18">
        <f>1*13</f>
        <v>13</v>
      </c>
      <c r="G89" s="5"/>
    </row>
    <row r="90" spans="2:7" x14ac:dyDescent="0.45">
      <c r="B90" s="11"/>
      <c r="C90" s="11"/>
      <c r="D90" s="11" t="s">
        <v>35</v>
      </c>
      <c r="E90" s="17" t="s">
        <v>91</v>
      </c>
      <c r="F90" s="18">
        <f>2*13</f>
        <v>26</v>
      </c>
      <c r="G90" s="5"/>
    </row>
    <row r="91" spans="2:7" x14ac:dyDescent="0.45">
      <c r="B91" s="11"/>
      <c r="C91" s="11"/>
      <c r="D91" s="11" t="s">
        <v>36</v>
      </c>
      <c r="E91" s="17" t="s">
        <v>92</v>
      </c>
      <c r="F91" s="18">
        <f>0.5*13</f>
        <v>6.5</v>
      </c>
      <c r="G91" s="5"/>
    </row>
    <row r="92" spans="2:7" x14ac:dyDescent="0.45">
      <c r="B92" s="11"/>
      <c r="C92" s="11"/>
      <c r="D92" s="11" t="s">
        <v>37</v>
      </c>
      <c r="E92" s="19" t="s">
        <v>93</v>
      </c>
      <c r="F92" s="20">
        <f>1*13</f>
        <v>13</v>
      </c>
      <c r="G92" s="5"/>
    </row>
    <row r="93" spans="2:7" x14ac:dyDescent="0.45">
      <c r="B93" s="11"/>
      <c r="C93" s="11"/>
      <c r="D93" s="11" t="s">
        <v>67</v>
      </c>
      <c r="E93" s="12"/>
      <c r="F93" s="12"/>
      <c r="G93" s="5"/>
    </row>
    <row r="94" spans="2:7" x14ac:dyDescent="0.45">
      <c r="B94" s="11"/>
      <c r="C94" s="11"/>
      <c r="D94" s="11" t="s">
        <v>68</v>
      </c>
      <c r="E94" s="12"/>
      <c r="F94" s="12"/>
      <c r="G94" s="5"/>
    </row>
    <row r="95" spans="2:7" x14ac:dyDescent="0.45">
      <c r="B95" s="11"/>
      <c r="C95" s="11"/>
      <c r="D95" s="11" t="s">
        <v>69</v>
      </c>
      <c r="E95" s="12"/>
      <c r="F95" s="12"/>
      <c r="G95" s="5"/>
    </row>
    <row r="96" spans="2:7" x14ac:dyDescent="0.45">
      <c r="B96" s="11"/>
      <c r="C96" s="11"/>
      <c r="D96" s="11" t="s">
        <v>38</v>
      </c>
      <c r="E96" s="12"/>
      <c r="F96" s="12"/>
      <c r="G96" s="5"/>
    </row>
    <row r="97" spans="2:7" x14ac:dyDescent="0.45">
      <c r="B97" s="11"/>
      <c r="C97" s="11"/>
      <c r="D97" s="11" t="s">
        <v>44</v>
      </c>
      <c r="E97" s="12"/>
      <c r="F97" s="12"/>
      <c r="G97" s="5"/>
    </row>
    <row r="98" spans="2:7" x14ac:dyDescent="0.45">
      <c r="B98" s="11"/>
      <c r="C98" s="11"/>
      <c r="D98" s="11" t="s">
        <v>54</v>
      </c>
      <c r="E98" s="12"/>
      <c r="F98" s="12"/>
      <c r="G98" s="5"/>
    </row>
    <row r="99" spans="2:7" x14ac:dyDescent="0.45">
      <c r="B99" s="11"/>
      <c r="C99" s="11"/>
      <c r="D99" s="11" t="s">
        <v>43</v>
      </c>
      <c r="E99" s="12"/>
      <c r="F99" s="12"/>
      <c r="G99" s="5"/>
    </row>
    <row r="100" spans="2:7" x14ac:dyDescent="0.45">
      <c r="B100" s="11"/>
      <c r="C100" s="8"/>
      <c r="D100" s="8" t="s">
        <v>39</v>
      </c>
      <c r="E100" s="13"/>
      <c r="F100" s="13"/>
      <c r="G100" s="5"/>
    </row>
    <row r="101" spans="2:7" x14ac:dyDescent="0.45">
      <c r="B101" s="11"/>
      <c r="C101" s="10" t="s">
        <v>87</v>
      </c>
      <c r="D101" s="10" t="s">
        <v>88</v>
      </c>
      <c r="E101" s="15" t="s">
        <v>32</v>
      </c>
      <c r="F101" s="16">
        <v>0.5</v>
      </c>
      <c r="G101" s="5"/>
    </row>
    <row r="102" spans="2:7" x14ac:dyDescent="0.45">
      <c r="B102" s="11"/>
      <c r="C102" s="11"/>
      <c r="D102" s="11"/>
      <c r="E102" s="17" t="s">
        <v>30</v>
      </c>
      <c r="F102" s="18">
        <v>1</v>
      </c>
      <c r="G102" s="5"/>
    </row>
    <row r="103" spans="2:7" x14ac:dyDescent="0.45">
      <c r="B103" s="11"/>
      <c r="C103" s="11"/>
      <c r="D103" s="11"/>
      <c r="E103" s="17" t="s">
        <v>13</v>
      </c>
      <c r="F103" s="18">
        <v>1</v>
      </c>
      <c r="G103" s="5"/>
    </row>
    <row r="104" spans="2:7" x14ac:dyDescent="0.45">
      <c r="B104" s="11"/>
      <c r="C104" s="11"/>
      <c r="D104" s="11"/>
      <c r="E104" s="21" t="s">
        <v>23</v>
      </c>
      <c r="F104" s="22">
        <v>1</v>
      </c>
      <c r="G104" s="5"/>
    </row>
    <row r="105" spans="2:7" x14ac:dyDescent="0.45">
      <c r="B105" s="11"/>
      <c r="C105" s="8"/>
      <c r="D105" s="8"/>
      <c r="E105" s="19" t="s">
        <v>64</v>
      </c>
      <c r="F105" s="20">
        <v>1</v>
      </c>
      <c r="G105" s="5"/>
    </row>
    <row r="106" spans="2:7" ht="36" x14ac:dyDescent="0.45">
      <c r="B106" s="11"/>
      <c r="C106" s="11" t="s">
        <v>85</v>
      </c>
      <c r="D106" s="12" t="s">
        <v>94</v>
      </c>
      <c r="E106" s="15" t="s">
        <v>32</v>
      </c>
      <c r="F106" s="16">
        <v>2</v>
      </c>
      <c r="G106" s="5"/>
    </row>
    <row r="107" spans="2:7" x14ac:dyDescent="0.45">
      <c r="B107" s="11"/>
      <c r="C107" s="11" t="s">
        <v>86</v>
      </c>
      <c r="D107" s="11"/>
      <c r="E107" s="17" t="s">
        <v>30</v>
      </c>
      <c r="F107" s="18">
        <v>2</v>
      </c>
      <c r="G107" s="5"/>
    </row>
    <row r="108" spans="2:7" x14ac:dyDescent="0.45">
      <c r="B108" s="11"/>
      <c r="C108" s="11"/>
      <c r="D108" s="11"/>
      <c r="E108" s="17" t="s">
        <v>13</v>
      </c>
      <c r="F108" s="18">
        <v>2</v>
      </c>
      <c r="G108" s="5"/>
    </row>
    <row r="109" spans="2:7" x14ac:dyDescent="0.45">
      <c r="B109" s="11"/>
      <c r="C109" s="11"/>
      <c r="D109" s="11"/>
      <c r="E109" s="21" t="s">
        <v>23</v>
      </c>
      <c r="F109" s="22">
        <v>1</v>
      </c>
      <c r="G109" s="5"/>
    </row>
    <row r="110" spans="2:7" x14ac:dyDescent="0.45">
      <c r="B110" s="11"/>
      <c r="C110" s="11"/>
      <c r="D110" s="11"/>
      <c r="E110" s="19" t="s">
        <v>64</v>
      </c>
      <c r="F110" s="20">
        <v>1</v>
      </c>
      <c r="G110" s="5"/>
    </row>
    <row r="111" spans="2:7" x14ac:dyDescent="0.45">
      <c r="B111" s="10" t="s">
        <v>95</v>
      </c>
      <c r="C111" s="10" t="s">
        <v>96</v>
      </c>
      <c r="D111" s="10" t="s">
        <v>105</v>
      </c>
      <c r="E111" s="7"/>
      <c r="F111" s="6">
        <f>1*22</f>
        <v>22</v>
      </c>
      <c r="G111" s="5"/>
    </row>
    <row r="112" spans="2:7" x14ac:dyDescent="0.45">
      <c r="B112" s="8"/>
      <c r="C112" s="10" t="s">
        <v>97</v>
      </c>
      <c r="D112" s="10"/>
      <c r="E112" s="7"/>
      <c r="F112" s="6">
        <v>10</v>
      </c>
      <c r="G112" s="5"/>
    </row>
    <row r="113" spans="2:7" x14ac:dyDescent="0.45">
      <c r="B113" s="10" t="s">
        <v>14</v>
      </c>
      <c r="C113" s="10" t="s">
        <v>100</v>
      </c>
      <c r="D113" s="10"/>
      <c r="E113" s="7"/>
      <c r="F113" s="6">
        <v>2</v>
      </c>
      <c r="G113" s="5"/>
    </row>
    <row r="114" spans="2:7" x14ac:dyDescent="0.45">
      <c r="B114" s="11"/>
      <c r="C114" s="10" t="s">
        <v>101</v>
      </c>
      <c r="D114" s="10"/>
      <c r="E114" s="7"/>
      <c r="F114" s="6">
        <v>1</v>
      </c>
      <c r="G114" s="5"/>
    </row>
    <row r="115" spans="2:7" x14ac:dyDescent="0.45">
      <c r="B115" s="11"/>
      <c r="C115" s="10" t="s">
        <v>102</v>
      </c>
      <c r="D115" s="10"/>
      <c r="E115" s="7"/>
      <c r="F115" s="6">
        <v>2</v>
      </c>
      <c r="G115" s="5"/>
    </row>
    <row r="116" spans="2:7" x14ac:dyDescent="0.45">
      <c r="B116" s="11"/>
      <c r="C116" s="10" t="s">
        <v>103</v>
      </c>
      <c r="D116" s="10"/>
      <c r="E116" s="7"/>
      <c r="F116" s="6">
        <v>1</v>
      </c>
      <c r="G116" s="5"/>
    </row>
    <row r="117" spans="2:7" x14ac:dyDescent="0.45">
      <c r="B117" s="8"/>
      <c r="C117" s="10" t="s">
        <v>104</v>
      </c>
      <c r="D117" s="10" t="s">
        <v>106</v>
      </c>
      <c r="E117" s="7"/>
      <c r="F117" s="6">
        <f>0.5*22</f>
        <v>11</v>
      </c>
      <c r="G117" s="5"/>
    </row>
    <row r="118" spans="2:7" ht="36" x14ac:dyDescent="0.45">
      <c r="B118" s="7" t="s">
        <v>99</v>
      </c>
      <c r="C118" s="7" t="s">
        <v>98</v>
      </c>
      <c r="D118" s="6"/>
      <c r="E118" s="7"/>
      <c r="F118" s="6">
        <v>5</v>
      </c>
      <c r="G118" s="5"/>
    </row>
    <row r="119" spans="2:7" x14ac:dyDescent="0.45">
      <c r="B119" s="5"/>
      <c r="C119" s="5"/>
      <c r="D119" s="5"/>
      <c r="E119" s="5"/>
      <c r="F119" s="5">
        <f>SUM(F1:F118)</f>
        <v>297.5</v>
      </c>
      <c r="G119" s="5"/>
    </row>
    <row r="120" spans="2:7" x14ac:dyDescent="0.45">
      <c r="B120" s="5"/>
      <c r="C120" s="5"/>
      <c r="D120" s="5"/>
      <c r="E120" s="5"/>
      <c r="F120" s="5">
        <f>ROUNDUP(F119*1.3,0)</f>
        <v>387</v>
      </c>
      <c r="G120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FA20-2618-4448-84AE-35D356F77BBD}">
  <dimension ref="C2:E11"/>
  <sheetViews>
    <sheetView workbookViewId="0"/>
    <sheetView workbookViewId="1"/>
  </sheetViews>
  <sheetFormatPr defaultRowHeight="18" x14ac:dyDescent="0.45"/>
  <cols>
    <col min="3" max="3" width="14.3984375" bestFit="1" customWidth="1"/>
    <col min="4" max="4" width="10.3984375" bestFit="1" customWidth="1"/>
    <col min="5" max="5" width="62.5" customWidth="1"/>
  </cols>
  <sheetData>
    <row r="2" spans="3:5" x14ac:dyDescent="0.45">
      <c r="C2" s="3" t="s">
        <v>3</v>
      </c>
      <c r="D2" s="3" t="s">
        <v>10</v>
      </c>
      <c r="E2" s="3" t="s">
        <v>15</v>
      </c>
    </row>
    <row r="3" spans="3:5" x14ac:dyDescent="0.45">
      <c r="C3" s="2" t="s">
        <v>5</v>
      </c>
      <c r="D3" s="26" t="s">
        <v>21</v>
      </c>
      <c r="E3" s="26"/>
    </row>
    <row r="4" spans="3:5" ht="36" x14ac:dyDescent="0.45">
      <c r="C4" s="2" t="s">
        <v>1</v>
      </c>
      <c r="D4" s="26" t="s">
        <v>20</v>
      </c>
      <c r="E4" s="27" t="s">
        <v>16</v>
      </c>
    </row>
    <row r="5" spans="3:5" ht="90" x14ac:dyDescent="0.45">
      <c r="C5" s="2" t="s">
        <v>4</v>
      </c>
      <c r="D5" s="26" t="s">
        <v>11</v>
      </c>
      <c r="E5" s="27" t="s">
        <v>17</v>
      </c>
    </row>
    <row r="6" spans="3:5" x14ac:dyDescent="0.45">
      <c r="C6" s="2" t="s">
        <v>6</v>
      </c>
      <c r="D6" s="26" t="s">
        <v>12</v>
      </c>
      <c r="E6" s="26" t="s">
        <v>18</v>
      </c>
    </row>
    <row r="7" spans="3:5" x14ac:dyDescent="0.45">
      <c r="C7" s="2" t="s">
        <v>7</v>
      </c>
      <c r="D7" s="26" t="s">
        <v>13</v>
      </c>
      <c r="E7" s="27" t="s">
        <v>19</v>
      </c>
    </row>
    <row r="8" spans="3:5" ht="54" x14ac:dyDescent="0.45">
      <c r="C8" s="2" t="s">
        <v>8</v>
      </c>
      <c r="D8" s="26" t="s">
        <v>23</v>
      </c>
      <c r="E8" s="27" t="s">
        <v>24</v>
      </c>
    </row>
    <row r="9" spans="3:5" ht="36" x14ac:dyDescent="0.45">
      <c r="C9" s="2" t="s">
        <v>9</v>
      </c>
      <c r="D9" s="26" t="s">
        <v>25</v>
      </c>
      <c r="E9" s="27" t="s">
        <v>26</v>
      </c>
    </row>
    <row r="10" spans="3:5" ht="54" x14ac:dyDescent="0.45">
      <c r="C10" s="2" t="s">
        <v>2</v>
      </c>
      <c r="D10" s="26" t="s">
        <v>27</v>
      </c>
      <c r="E10" s="27" t="s">
        <v>28</v>
      </c>
    </row>
    <row r="11" spans="3:5" ht="108" x14ac:dyDescent="0.45">
      <c r="C11" s="26"/>
      <c r="D11" s="26" t="s">
        <v>14</v>
      </c>
      <c r="E11" s="27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研修管理</vt:lpstr>
      <vt:lpstr>研修管理(詳細)</vt:lpstr>
      <vt:lpstr>項目表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2024-09-23T15:39:05Z</dcterms:created>
  <dcterms:modified xsi:type="dcterms:W3CDTF">2026-08-24T07:56:50Z</dcterms:modified>
</cp:coreProperties>
</file>